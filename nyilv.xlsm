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ctrlProps/ctrlProp24.xml" ContentType="application/vnd.ms-excel.controlproperties+xml"/>
  <Override PartName="/xl/drawings/drawing7.xml" ContentType="application/vnd.openxmlformats-officedocument.drawing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esszi-Szabó Gábor\Desktop\IT_Dev\Excel_advanced\VBA\"/>
    </mc:Choice>
  </mc:AlternateContent>
  <xr:revisionPtr revIDLastSave="0" documentId="13_ncr:1_{05EEBB3E-D19F-4488-BEBE-4E91EC2CB1BB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Eladas" sheetId="1" r:id="rId1"/>
    <sheet name="Beszerzes" sheetId="6" r:id="rId2"/>
    <sheet name="Termekadatok" sheetId="11" r:id="rId3"/>
    <sheet name="ujtermek" sheetId="7" r:id="rId4"/>
    <sheet name="ujbeszallito" sheetId="12" r:id="rId5"/>
    <sheet name="beszallitok" sheetId="5" r:id="rId6"/>
    <sheet name="termekek" sheetId="8" r:id="rId7"/>
    <sheet name="eladasok" sheetId="9" r:id="rId8"/>
    <sheet name="beszerzesek" sheetId="10" r:id="rId9"/>
    <sheet name="kimutatasok" sheetId="13" r:id="rId10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8" i="1" l="1"/>
  <c r="A1" i="5"/>
  <c r="J6" i="8"/>
  <c r="I6" i="8"/>
  <c r="G6" i="8"/>
  <c r="F6" i="8"/>
  <c r="G6" i="6"/>
  <c r="G6" i="1"/>
  <c r="J5" i="8"/>
  <c r="I5" i="8"/>
  <c r="G5" i="8"/>
  <c r="F5" i="8"/>
  <c r="K14" i="13"/>
  <c r="D16" i="13" s="1"/>
  <c r="L3" i="13"/>
  <c r="K3" i="13"/>
  <c r="D7" i="13" s="1"/>
  <c r="D21" i="13"/>
  <c r="D20" i="13"/>
  <c r="D19" i="13"/>
  <c r="G20" i="13"/>
  <c r="G19" i="13"/>
  <c r="D15" i="13"/>
  <c r="J12" i="8"/>
  <c r="I12" i="8"/>
  <c r="G12" i="8"/>
  <c r="F12" i="8"/>
  <c r="G13" i="7"/>
  <c r="F10" i="12"/>
  <c r="D4" i="12"/>
  <c r="D14" i="7"/>
  <c r="D14" i="6"/>
  <c r="D10" i="11"/>
  <c r="G14" i="11"/>
  <c r="D14" i="11" s="1"/>
  <c r="G12" i="11"/>
  <c r="D12" i="11" s="1"/>
  <c r="D8" i="11"/>
  <c r="D6" i="11" s="1"/>
  <c r="G10" i="6"/>
  <c r="G8" i="6" s="1"/>
  <c r="D10" i="6"/>
  <c r="G10" i="1"/>
  <c r="D10" i="1"/>
  <c r="J7" i="8"/>
  <c r="I7" i="8"/>
  <c r="J11" i="8"/>
  <c r="I11" i="8"/>
  <c r="J10" i="8"/>
  <c r="I10" i="8"/>
  <c r="J9" i="8"/>
  <c r="I9" i="8"/>
  <c r="J8" i="8"/>
  <c r="I8" i="8"/>
  <c r="J4" i="8"/>
  <c r="I4" i="8"/>
  <c r="G7" i="8"/>
  <c r="F7" i="8"/>
  <c r="G11" i="8"/>
  <c r="G10" i="8"/>
  <c r="G16" i="13" s="1"/>
  <c r="G9" i="8"/>
  <c r="G8" i="8"/>
  <c r="G4" i="8"/>
  <c r="F11" i="8"/>
  <c r="F10" i="8"/>
  <c r="G15" i="13" s="1"/>
  <c r="F9" i="8"/>
  <c r="F8" i="8"/>
  <c r="F4" i="8"/>
  <c r="A1" i="10"/>
  <c r="A1" i="9"/>
  <c r="A1" i="8"/>
  <c r="G8" i="11" s="1"/>
  <c r="D4" i="7"/>
  <c r="D4" i="6"/>
  <c r="D4" i="1"/>
  <c r="H6" i="8" l="1"/>
  <c r="D8" i="13"/>
  <c r="D9" i="13" s="1"/>
  <c r="K6" i="8"/>
  <c r="H5" i="8"/>
  <c r="D17" i="13"/>
  <c r="D18" i="13" s="1"/>
  <c r="H12" i="8"/>
  <c r="K12" i="8"/>
  <c r="K5" i="8"/>
  <c r="G1" i="8"/>
  <c r="J1" i="8"/>
  <c r="F1" i="8"/>
  <c r="I1" i="8"/>
  <c r="K8" i="8"/>
  <c r="K9" i="8"/>
  <c r="K10" i="8"/>
  <c r="K11" i="8"/>
  <c r="K7" i="8"/>
  <c r="K4" i="8"/>
  <c r="H8" i="8"/>
  <c r="H4" i="8"/>
  <c r="H9" i="8"/>
  <c r="H11" i="8"/>
  <c r="H10" i="8"/>
  <c r="G17" i="13" s="1"/>
  <c r="D12" i="6"/>
  <c r="H7" i="8"/>
  <c r="D12" i="1"/>
  <c r="G10" i="11" l="1"/>
  <c r="H1" i="8"/>
  <c r="K2" i="8"/>
  <c r="K1" i="8"/>
  <c r="G12" i="1"/>
  <c r="G12" i="6"/>
</calcChain>
</file>

<file path=xl/sharedStrings.xml><?xml version="1.0" encoding="utf-8"?>
<sst xmlns="http://schemas.openxmlformats.org/spreadsheetml/2006/main" count="135" uniqueCount="78">
  <si>
    <t>Termék eladása</t>
  </si>
  <si>
    <t>Dátum:</t>
  </si>
  <si>
    <t>Mennyiség:</t>
  </si>
  <si>
    <t>Vonalkód:</t>
  </si>
  <si>
    <t>Ár:</t>
  </si>
  <si>
    <t>Megnevezés:</t>
  </si>
  <si>
    <t>Fizetendő:</t>
  </si>
  <si>
    <t>Ft.</t>
  </si>
  <si>
    <t>Készlet:</t>
  </si>
  <si>
    <t>db.</t>
  </si>
  <si>
    <t>Beszállítók</t>
  </si>
  <si>
    <t>kód</t>
  </si>
  <si>
    <t>Név</t>
  </si>
  <si>
    <t>Cím</t>
  </si>
  <si>
    <t>Termékek</t>
  </si>
  <si>
    <t>vonalkód</t>
  </si>
  <si>
    <t>megnevezés</t>
  </si>
  <si>
    <t>Dátum</t>
  </si>
  <si>
    <t>mennyiség</t>
  </si>
  <si>
    <t>összesen</t>
  </si>
  <si>
    <t>egységár</t>
  </si>
  <si>
    <t>beszállító</t>
  </si>
  <si>
    <t>Termék beszerzése</t>
  </si>
  <si>
    <t>Beszerzési ár:</t>
  </si>
  <si>
    <t>Beszállító:</t>
  </si>
  <si>
    <t>Új termék rögzítése</t>
  </si>
  <si>
    <t>Eladási ár:</t>
  </si>
  <si>
    <t>beszerzési ár</t>
  </si>
  <si>
    <t>eladási ár</t>
  </si>
  <si>
    <t>Beszerzett</t>
  </si>
  <si>
    <t>Eladott</t>
  </si>
  <si>
    <t>Készlet</t>
  </si>
  <si>
    <t>beszerzési ktsg.</t>
  </si>
  <si>
    <t>Eladási bevétel</t>
  </si>
  <si>
    <t>Csodálatos úticélok c. könyv</t>
  </si>
  <si>
    <t>Hogyan használjam? c. könyv</t>
  </si>
  <si>
    <t>Tintapatron HP 342</t>
  </si>
  <si>
    <t>Microsoft Windows XP professional</t>
  </si>
  <si>
    <t>USB kábel</t>
  </si>
  <si>
    <t>Beszerzések</t>
  </si>
  <si>
    <t>Eladások</t>
  </si>
  <si>
    <t>Gipsz Jakab</t>
  </si>
  <si>
    <t>Telefonszám</t>
  </si>
  <si>
    <t>Eredeti ár:</t>
  </si>
  <si>
    <t>Test termék</t>
  </si>
  <si>
    <t>Besz. egységár:</t>
  </si>
  <si>
    <t>Eredeti besz. ár:</t>
  </si>
  <si>
    <t>Haszon</t>
  </si>
  <si>
    <t>9876 Bányatelep, Kőfejtő u. 1.</t>
  </si>
  <si>
    <t>(98)765-432</t>
  </si>
  <si>
    <t>Termékadatok</t>
  </si>
  <si>
    <t>Eredeti név:</t>
  </si>
  <si>
    <t>Terméknév:</t>
  </si>
  <si>
    <t>Tengeri herkentyű</t>
  </si>
  <si>
    <t>Új beszállító rögzítése</t>
  </si>
  <si>
    <t>Cím:</t>
  </si>
  <si>
    <t>Telefonszám:</t>
  </si>
  <si>
    <t>Makróhasználat Excelben</t>
  </si>
  <si>
    <t>Kimutatások</t>
  </si>
  <si>
    <t>Kedő dátum:</t>
  </si>
  <si>
    <t>Záró Dátum:</t>
  </si>
  <si>
    <t>Értékesítés az adott időszakban:</t>
  </si>
  <si>
    <t>Beszerzés az adott időszakban:</t>
  </si>
  <si>
    <t>Adott termék beszerzési költsége:</t>
  </si>
  <si>
    <t>Adott termékértékesítési bevétele:</t>
  </si>
  <si>
    <t>Haszon az adott termékből:</t>
  </si>
  <si>
    <t>Beszállító neve:</t>
  </si>
  <si>
    <t>Beszállító címe:</t>
  </si>
  <si>
    <t>Beszállító telefonszáma:</t>
  </si>
  <si>
    <t>Beszerzett:</t>
  </si>
  <si>
    <t>Eladott:</t>
  </si>
  <si>
    <t>dátum</t>
  </si>
  <si>
    <t>Haszon az adott időszakban:</t>
  </si>
  <si>
    <t>Zabhegyező Kft.</t>
  </si>
  <si>
    <t>1234 Budapest, Ló u. 99.</t>
  </si>
  <si>
    <t>Dűzni</t>
  </si>
  <si>
    <t>Trapp István</t>
  </si>
  <si>
    <t>Sajtvár, Tej út 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</si>
</sst>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;@"/>
  </numFmts>
  <fonts count="18" x14ac:knownFonts="1">
    <font>
      <sz val="11"/>
      <color theme="1"/>
      <name val="Calibri"/>
      <family val="2"/>
      <charset val="238"/>
      <scheme val="minor"/>
    </font>
    <font>
      <b/>
      <sz val="12"/>
      <color theme="1"/>
      <name val="Tahoma"/>
      <family val="2"/>
      <charset val="238"/>
    </font>
    <font>
      <sz val="10"/>
      <name val="Arial"/>
      <family val="2"/>
      <charset val="238"/>
    </font>
    <font>
      <sz val="10"/>
      <name val="Tahoma"/>
      <family val="2"/>
      <charset val="238"/>
    </font>
    <font>
      <sz val="12"/>
      <name val="Tahoma"/>
      <family val="2"/>
      <charset val="238"/>
    </font>
    <font>
      <b/>
      <sz val="16"/>
      <color theme="0"/>
      <name val="Tahoma"/>
      <family val="2"/>
      <charset val="238"/>
    </font>
    <font>
      <sz val="11"/>
      <color theme="1"/>
      <name val="Tahoma"/>
      <family val="2"/>
      <charset val="238"/>
    </font>
    <font>
      <sz val="10"/>
      <color theme="1"/>
      <name val="Tahoma"/>
      <family val="2"/>
      <charset val="238"/>
    </font>
    <font>
      <b/>
      <sz val="16"/>
      <color theme="1"/>
      <name val="Tahoma"/>
      <family val="2"/>
      <charset val="238"/>
    </font>
    <font>
      <b/>
      <sz val="18"/>
      <color theme="1"/>
      <name val="Tahoma"/>
      <family val="2"/>
      <charset val="238"/>
    </font>
    <font>
      <b/>
      <sz val="20"/>
      <color theme="1"/>
      <name val="Tahoma"/>
      <family val="2"/>
      <charset val="238"/>
    </font>
    <font>
      <b/>
      <sz val="10"/>
      <color theme="1"/>
      <name val="Tahoma"/>
      <family val="2"/>
      <charset val="238"/>
    </font>
    <font>
      <sz val="12"/>
      <color theme="1"/>
      <name val="Tahoma"/>
      <family val="2"/>
      <charset val="238"/>
    </font>
    <font>
      <sz val="12"/>
      <color theme="0" tint="-0.499984740745262"/>
      <name val="Tahoma"/>
      <family val="2"/>
      <charset val="238"/>
    </font>
    <font>
      <b/>
      <sz val="16"/>
      <color rgb="FF000000"/>
      <name val="Tahoma"/>
      <family val="2"/>
      <charset val="238"/>
    </font>
    <font>
      <sz val="11"/>
      <color rgb="FF000000"/>
      <name val="Calibri"/>
      <family val="2"/>
      <charset val="238"/>
      <scheme val="minor"/>
    </font>
    <font>
      <sz val="11"/>
      <name val="Tahoma"/>
      <family val="2"/>
      <charset val="238"/>
    </font>
    <font>
      <sz val="12"/>
      <color theme="0" tint="-0.34998626667073579"/>
      <name val="Tahoma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8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73">
    <xf numFmtId="0" fontId="0" fillId="0" borderId="0" xfId="0"/>
    <xf numFmtId="0" fontId="4" fillId="2" borderId="0" xfId="1" applyFont="1" applyFill="1" applyAlignment="1" applyProtection="1">
      <alignment horizontal="right" vertical="center"/>
    </xf>
    <xf numFmtId="0" fontId="4" fillId="2" borderId="0" xfId="1" applyFont="1" applyFill="1" applyBorder="1" applyAlignment="1" applyProtection="1">
      <alignment horizontal="right" vertical="center"/>
    </xf>
    <xf numFmtId="0" fontId="6" fillId="0" borderId="0" xfId="0" applyFont="1" applyFill="1"/>
    <xf numFmtId="0" fontId="6" fillId="0" borderId="0" xfId="0" applyFont="1"/>
    <xf numFmtId="0" fontId="6" fillId="3" borderId="0" xfId="0" applyFont="1" applyFill="1"/>
    <xf numFmtId="0" fontId="6" fillId="2" borderId="0" xfId="0" applyFont="1" applyFill="1" applyAlignment="1">
      <alignment vertical="center"/>
    </xf>
    <xf numFmtId="0" fontId="6" fillId="2" borderId="0" xfId="0" applyFont="1" applyFill="1" applyAlignment="1">
      <alignment horizontal="right" vertical="center"/>
    </xf>
    <xf numFmtId="0" fontId="1" fillId="5" borderId="0" xfId="0" applyFont="1" applyFill="1" applyAlignment="1">
      <alignment vertical="center"/>
    </xf>
    <xf numFmtId="0" fontId="10" fillId="5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vertical="center"/>
    </xf>
    <xf numFmtId="14" fontId="1" fillId="5" borderId="0" xfId="0" applyNumberFormat="1" applyFont="1" applyFill="1" applyAlignment="1">
      <alignment vertical="center"/>
    </xf>
    <xf numFmtId="0" fontId="12" fillId="5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7" fillId="5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3" fillId="0" borderId="0" xfId="2" applyNumberFormat="1" applyFont="1" applyBorder="1" applyAlignment="1">
      <alignment vertical="top"/>
    </xf>
    <xf numFmtId="0" fontId="3" fillId="0" borderId="0" xfId="3" applyNumberFormat="1" applyFont="1" applyBorder="1" applyAlignment="1">
      <alignment vertical="top"/>
    </xf>
    <xf numFmtId="1" fontId="3" fillId="0" borderId="0" xfId="4" applyNumberFormat="1" applyFont="1" applyBorder="1" applyAlignment="1">
      <alignment horizontal="right"/>
    </xf>
    <xf numFmtId="0" fontId="3" fillId="0" borderId="0" xfId="4" applyNumberFormat="1" applyFont="1" applyBorder="1" applyAlignment="1"/>
    <xf numFmtId="1" fontId="3" fillId="0" borderId="0" xfId="5" applyNumberFormat="1" applyFont="1" applyBorder="1" applyAlignment="1">
      <alignment horizontal="right"/>
    </xf>
    <xf numFmtId="0" fontId="3" fillId="0" borderId="0" xfId="6" applyNumberFormat="1" applyFont="1" applyBorder="1" applyAlignment="1"/>
    <xf numFmtId="1" fontId="3" fillId="0" borderId="0" xfId="7" applyNumberFormat="1" applyFont="1" applyBorder="1" applyAlignment="1">
      <alignment horizontal="right"/>
    </xf>
    <xf numFmtId="0" fontId="3" fillId="0" borderId="0" xfId="7" applyNumberFormat="1" applyFont="1" applyBorder="1" applyAlignment="1"/>
    <xf numFmtId="0" fontId="7" fillId="0" borderId="0" xfId="0" applyFont="1"/>
    <xf numFmtId="0" fontId="11" fillId="0" borderId="0" xfId="0" applyFont="1"/>
    <xf numFmtId="0" fontId="8" fillId="2" borderId="0" xfId="0" applyFont="1" applyFill="1"/>
    <xf numFmtId="0" fontId="7" fillId="2" borderId="0" xfId="0" applyFont="1" applyFill="1"/>
    <xf numFmtId="0" fontId="11" fillId="2" borderId="0" xfId="0" applyFont="1" applyFill="1"/>
    <xf numFmtId="14" fontId="7" fillId="0" borderId="0" xfId="0" applyNumberFormat="1" applyFont="1"/>
    <xf numFmtId="1" fontId="7" fillId="0" borderId="0" xfId="0" applyNumberFormat="1" applyFont="1"/>
    <xf numFmtId="1" fontId="7" fillId="2" borderId="0" xfId="0" applyNumberFormat="1" applyFont="1" applyFill="1"/>
    <xf numFmtId="0" fontId="9" fillId="4" borderId="0" xfId="0" applyFont="1" applyFill="1" applyAlignment="1" applyProtection="1">
      <alignment vertical="center"/>
      <protection locked="0"/>
    </xf>
    <xf numFmtId="0" fontId="12" fillId="4" borderId="0" xfId="0" applyFont="1" applyFill="1" applyAlignment="1" applyProtection="1">
      <alignment vertical="center"/>
      <protection locked="0"/>
    </xf>
    <xf numFmtId="1" fontId="12" fillId="4" borderId="0" xfId="0" applyNumberFormat="1" applyFont="1" applyFill="1" applyAlignment="1" applyProtection="1">
      <alignment vertical="center"/>
      <protection locked="0"/>
    </xf>
    <xf numFmtId="0" fontId="8" fillId="4" borderId="0" xfId="0" applyFont="1" applyFill="1" applyAlignment="1" applyProtection="1">
      <alignment vertical="center"/>
      <protection locked="0"/>
    </xf>
    <xf numFmtId="1" fontId="3" fillId="0" borderId="0" xfId="2" applyNumberFormat="1" applyFont="1" applyBorder="1" applyAlignment="1">
      <alignment horizontal="right" vertical="top"/>
    </xf>
    <xf numFmtId="0" fontId="7" fillId="0" borderId="0" xfId="0" applyFont="1" applyAlignment="1">
      <alignment horizontal="right"/>
    </xf>
    <xf numFmtId="0" fontId="1" fillId="4" borderId="0" xfId="0" applyFont="1" applyFill="1" applyAlignment="1" applyProtection="1">
      <alignment vertical="center"/>
      <protection locked="0"/>
    </xf>
    <xf numFmtId="0" fontId="11" fillId="4" borderId="0" xfId="0" applyFont="1" applyFill="1" applyAlignment="1" applyProtection="1">
      <alignment vertical="center"/>
      <protection locked="0"/>
    </xf>
    <xf numFmtId="0" fontId="5" fillId="3" borderId="0" xfId="0" applyFont="1" applyFill="1" applyAlignment="1" applyProtection="1">
      <alignment horizontal="left" vertical="center"/>
    </xf>
    <xf numFmtId="0" fontId="6" fillId="3" borderId="0" xfId="0" applyFont="1" applyFill="1" applyProtection="1"/>
    <xf numFmtId="0" fontId="12" fillId="2" borderId="0" xfId="0" applyFont="1" applyFill="1" applyAlignment="1" applyProtection="1">
      <alignment vertical="center"/>
    </xf>
    <xf numFmtId="1" fontId="12" fillId="4" borderId="0" xfId="0" applyNumberFormat="1" applyFont="1" applyFill="1" applyAlignment="1" applyProtection="1">
      <alignment vertical="center"/>
    </xf>
    <xf numFmtId="0" fontId="12" fillId="2" borderId="0" xfId="0" applyFont="1" applyFill="1" applyAlignment="1" applyProtection="1">
      <alignment horizontal="right" vertical="center"/>
    </xf>
    <xf numFmtId="0" fontId="7" fillId="5" borderId="0" xfId="0" applyFont="1" applyFill="1" applyAlignment="1" applyProtection="1">
      <alignment vertical="center"/>
    </xf>
    <xf numFmtId="0" fontId="12" fillId="5" borderId="0" xfId="0" applyFont="1" applyFill="1" applyAlignment="1" applyProtection="1">
      <alignment vertical="center"/>
    </xf>
    <xf numFmtId="0" fontId="6" fillId="2" borderId="0" xfId="0" applyFont="1" applyFill="1" applyAlignment="1" applyProtection="1">
      <alignment horizontal="right" vertical="center"/>
    </xf>
    <xf numFmtId="0" fontId="6" fillId="2" borderId="0" xfId="0" applyFont="1" applyFill="1" applyAlignment="1" applyProtection="1">
      <alignment vertical="center"/>
    </xf>
    <xf numFmtId="0" fontId="13" fillId="2" borderId="0" xfId="0" applyFont="1" applyFill="1" applyAlignment="1" applyProtection="1">
      <alignment vertical="center"/>
    </xf>
    <xf numFmtId="1" fontId="13" fillId="2" borderId="0" xfId="0" applyNumberFormat="1" applyFont="1" applyFill="1" applyAlignment="1" applyProtection="1">
      <alignment vertical="center"/>
    </xf>
    <xf numFmtId="0" fontId="4" fillId="4" borderId="0" xfId="0" applyFont="1" applyFill="1" applyAlignment="1" applyProtection="1">
      <alignment vertical="center"/>
      <protection locked="0"/>
    </xf>
    <xf numFmtId="0" fontId="7" fillId="2" borderId="0" xfId="0" applyFont="1" applyFill="1" applyAlignment="1">
      <alignment horizontal="left" vertical="center"/>
    </xf>
    <xf numFmtId="0" fontId="13" fillId="2" borderId="0" xfId="0" applyFont="1" applyFill="1" applyAlignment="1">
      <alignment vertical="center"/>
    </xf>
    <xf numFmtId="0" fontId="6" fillId="0" borderId="0" xfId="0" applyFont="1" applyProtection="1"/>
    <xf numFmtId="0" fontId="6" fillId="0" borderId="0" xfId="0" applyFont="1" applyFill="1" applyProtection="1"/>
    <xf numFmtId="14" fontId="1" fillId="5" borderId="0" xfId="0" applyNumberFormat="1" applyFont="1" applyFill="1" applyAlignment="1" applyProtection="1">
      <alignment vertical="center"/>
    </xf>
    <xf numFmtId="1" fontId="8" fillId="2" borderId="0" xfId="0" applyNumberFormat="1" applyFont="1" applyFill="1"/>
    <xf numFmtId="1" fontId="3" fillId="0" borderId="0" xfId="3" applyNumberFormat="1" applyFont="1" applyBorder="1" applyAlignment="1">
      <alignment horizontal="right" vertical="top"/>
    </xf>
    <xf numFmtId="0" fontId="16" fillId="2" borderId="0" xfId="1" applyFont="1" applyFill="1" applyAlignment="1" applyProtection="1">
      <alignment horizontal="right" vertical="center"/>
    </xf>
    <xf numFmtId="0" fontId="6" fillId="0" borderId="0" xfId="0" applyFont="1" applyAlignment="1">
      <alignment horizontal="right"/>
    </xf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6" fillId="0" borderId="0" xfId="0" applyFont="1" applyFill="1" applyAlignment="1">
      <alignment horizontal="right"/>
    </xf>
    <xf numFmtId="0" fontId="6" fillId="3" borderId="0" xfId="0" applyFont="1" applyFill="1" applyAlignment="1">
      <alignment horizontal="right"/>
    </xf>
    <xf numFmtId="0" fontId="6" fillId="5" borderId="0" xfId="0" applyFont="1" applyFill="1"/>
    <xf numFmtId="1" fontId="6" fillId="4" borderId="0" xfId="0" applyNumberFormat="1" applyFont="1" applyFill="1" applyProtection="1">
      <protection locked="0"/>
    </xf>
    <xf numFmtId="164" fontId="6" fillId="4" borderId="0" xfId="0" applyNumberFormat="1" applyFont="1" applyFill="1" applyAlignment="1" applyProtection="1">
      <alignment vertical="center"/>
      <protection locked="0"/>
    </xf>
    <xf numFmtId="0" fontId="6" fillId="2" borderId="0" xfId="0" applyFont="1" applyFill="1" applyAlignment="1">
      <alignment horizontal="left"/>
    </xf>
    <xf numFmtId="0" fontId="17" fillId="2" borderId="0" xfId="0" applyFont="1" applyFill="1" applyAlignment="1">
      <alignment vertical="center"/>
    </xf>
    <xf numFmtId="0" fontId="17" fillId="2" borderId="0" xfId="0" applyFont="1" applyFill="1" applyAlignment="1">
      <alignment horizontal="right" vertical="center"/>
    </xf>
  </cellXfs>
  <cellStyles count="8">
    <cellStyle name="Normal" xfId="0" builtinId="0"/>
    <cellStyle name="Normál 2" xfId="1" xr:uid="{00000000-0005-0000-0000-000001000000}"/>
    <cellStyle name="Normál 3" xfId="2" xr:uid="{00000000-0005-0000-0000-000002000000}"/>
    <cellStyle name="Normál 4" xfId="3" xr:uid="{00000000-0005-0000-0000-000003000000}"/>
    <cellStyle name="Normál 5" xfId="4" xr:uid="{00000000-0005-0000-0000-000004000000}"/>
    <cellStyle name="Normál 6" xfId="5" xr:uid="{00000000-0005-0000-0000-000005000000}"/>
    <cellStyle name="Normál 7" xfId="6" xr:uid="{00000000-0005-0000-0000-000006000000}"/>
    <cellStyle name="Normál 8" xfId="7" xr:uid="{00000000-0005-0000-0000-000007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D$6" max="30000" page="1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Spin" dx="16" fmlaLink="$D$6" max="30000" page="1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Drop" dropStyle="combo" dx="16" fmlaLink="D12" fmlaRange="beszallitok!$B$4:$B$50" noThreeD="1" sel="1" val="0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4</xdr:col>
          <xdr:colOff>182880</xdr:colOff>
          <xdr:row>6</xdr:row>
          <xdr:rowOff>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F19A087-D182-4C2A-BF69-8CCDE486AA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15240</xdr:rowOff>
        </xdr:from>
        <xdr:to>
          <xdr:col>7</xdr:col>
          <xdr:colOff>0</xdr:colOff>
          <xdr:row>16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0875216-1C5A-4465-B915-F8A2EC6704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Eladás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1</xdr:row>
          <xdr:rowOff>68580</xdr:rowOff>
        </xdr:from>
        <xdr:to>
          <xdr:col>7</xdr:col>
          <xdr:colOff>213360</xdr:colOff>
          <xdr:row>1</xdr:row>
          <xdr:rowOff>251460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83337DE-DFB5-4755-90A6-F6E3D12CB0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Beszerzés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3</xdr:row>
          <xdr:rowOff>121920</xdr:rowOff>
        </xdr:from>
        <xdr:to>
          <xdr:col>7</xdr:col>
          <xdr:colOff>213360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AC22DA45-2830-43EE-97A5-C6A6C5F4A8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Kimutatások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2</xdr:row>
          <xdr:rowOff>45720</xdr:rowOff>
        </xdr:from>
        <xdr:to>
          <xdr:col>7</xdr:col>
          <xdr:colOff>213360</xdr:colOff>
          <xdr:row>3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609188C-15AB-4742-B2DA-C9C5DF3B50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Termékadat módosítás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4</xdr:col>
          <xdr:colOff>182880</xdr:colOff>
          <xdr:row>6</xdr:row>
          <xdr:rowOff>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B8D9385-C562-4CC2-89C6-D3798BA48C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15240</xdr:rowOff>
        </xdr:from>
        <xdr:to>
          <xdr:col>7</xdr:col>
          <xdr:colOff>7620</xdr:colOff>
          <xdr:row>17</xdr:row>
          <xdr:rowOff>60960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1FFFBEAC-EEC9-46C4-8C0E-75E604B0EA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Beszerzés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68580</xdr:rowOff>
        </xdr:from>
        <xdr:to>
          <xdr:col>7</xdr:col>
          <xdr:colOff>220980</xdr:colOff>
          <xdr:row>1</xdr:row>
          <xdr:rowOff>251460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A4C78A7-8EF3-4879-9E6B-0794120640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Eladás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4</xdr:row>
          <xdr:rowOff>60960</xdr:rowOff>
        </xdr:from>
        <xdr:to>
          <xdr:col>7</xdr:col>
          <xdr:colOff>220980</xdr:colOff>
          <xdr:row>5</xdr:row>
          <xdr:rowOff>91440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E93C69F-A00A-4E99-A199-80EBD99E79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Új termék rögzítése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</xdr:row>
          <xdr:rowOff>144780</xdr:rowOff>
        </xdr:from>
        <xdr:to>
          <xdr:col>7</xdr:col>
          <xdr:colOff>220980</xdr:colOff>
          <xdr:row>4</xdr:row>
          <xdr:rowOff>22860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2AFE2A07-603A-4491-99B6-443B9EB56D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Termékadat módosítás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15240</xdr:rowOff>
        </xdr:from>
        <xdr:to>
          <xdr:col>7</xdr:col>
          <xdr:colOff>0</xdr:colOff>
          <xdr:row>17</xdr:row>
          <xdr:rowOff>60960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35753419-3355-43B3-AACD-F569B66EF0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Adatok módosítása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68580</xdr:rowOff>
        </xdr:from>
        <xdr:to>
          <xdr:col>7</xdr:col>
          <xdr:colOff>220980</xdr:colOff>
          <xdr:row>1</xdr:row>
          <xdr:rowOff>251460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E3AA4313-1AF9-448F-8C93-30FE1F5D2D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Beszerzés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4</xdr:row>
          <xdr:rowOff>53340</xdr:rowOff>
        </xdr:from>
        <xdr:to>
          <xdr:col>7</xdr:col>
          <xdr:colOff>220980</xdr:colOff>
          <xdr:row>5</xdr:row>
          <xdr:rowOff>83820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1EAC7BB0-CA49-4C9F-9E45-75D82E0864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Kimutatások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2</xdr:row>
          <xdr:rowOff>129540</xdr:rowOff>
        </xdr:from>
        <xdr:to>
          <xdr:col>7</xdr:col>
          <xdr:colOff>220980</xdr:colOff>
          <xdr:row>4</xdr:row>
          <xdr:rowOff>7620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4A265DF8-36C9-42F7-A5C9-800AED4807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Eladás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15240</xdr:rowOff>
        </xdr:from>
        <xdr:to>
          <xdr:col>7</xdr:col>
          <xdr:colOff>0</xdr:colOff>
          <xdr:row>17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E08662BD-249F-4BD2-A8D1-17BA3CE0BF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Termék rögzítése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</xdr:row>
          <xdr:rowOff>129540</xdr:rowOff>
        </xdr:from>
        <xdr:to>
          <xdr:col>7</xdr:col>
          <xdr:colOff>198120</xdr:colOff>
          <xdr:row>4</xdr:row>
          <xdr:rowOff>7620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8E334E0F-3834-473E-AA2D-BFD584877F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Beszerzés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4</xdr:row>
          <xdr:rowOff>121920</xdr:rowOff>
        </xdr:from>
        <xdr:to>
          <xdr:col>7</xdr:col>
          <xdr:colOff>190500</xdr:colOff>
          <xdr:row>5</xdr:row>
          <xdr:rowOff>152400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4D2487B3-16AD-4554-A015-5CE6A7E3D1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Új beszállító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15240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C2DFC5B0-37ED-443E-9C89-5767808BC1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68580</xdr:rowOff>
        </xdr:from>
        <xdr:to>
          <xdr:col>7</xdr:col>
          <xdr:colOff>220980</xdr:colOff>
          <xdr:row>1</xdr:row>
          <xdr:rowOff>251460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91A6D14D-EC2A-4432-838D-CB4EA4C23D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Eladás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15240</xdr:rowOff>
        </xdr:from>
        <xdr:to>
          <xdr:col>7</xdr:col>
          <xdr:colOff>0</xdr:colOff>
          <xdr:row>13</xdr:row>
          <xdr:rowOff>60960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4C57D1B9-B69B-446C-82E9-6DF9524BE4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Új beszállító rögzítése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</xdr:row>
          <xdr:rowOff>129540</xdr:rowOff>
        </xdr:from>
        <xdr:to>
          <xdr:col>7</xdr:col>
          <xdr:colOff>213360</xdr:colOff>
          <xdr:row>4</xdr:row>
          <xdr:rowOff>7620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5E66402A-D76E-4347-B033-1B722F8680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Beszerzés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68580</xdr:rowOff>
        </xdr:from>
        <xdr:to>
          <xdr:col>7</xdr:col>
          <xdr:colOff>220980</xdr:colOff>
          <xdr:row>1</xdr:row>
          <xdr:rowOff>251460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26DB51FA-96D5-4B41-A968-448199D7D0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Eladás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4</xdr:row>
          <xdr:rowOff>60960</xdr:rowOff>
        </xdr:from>
        <xdr:to>
          <xdr:col>7</xdr:col>
          <xdr:colOff>220980</xdr:colOff>
          <xdr:row>5</xdr:row>
          <xdr:rowOff>91440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31A87FB9-B8F9-4208-B00F-372EA4D389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Új termék rögzítése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434340</xdr:colOff>
          <xdr:row>1</xdr:row>
          <xdr:rowOff>22860</xdr:rowOff>
        </xdr:from>
        <xdr:to>
          <xdr:col>7</xdr:col>
          <xdr:colOff>457200</xdr:colOff>
          <xdr:row>1</xdr:row>
          <xdr:rowOff>205740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49C1C5A5-8918-476E-BBCA-82CA0C2ECB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Eladás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</xdr:row>
          <xdr:rowOff>45720</xdr:rowOff>
        </xdr:from>
        <xdr:to>
          <xdr:col>8</xdr:col>
          <xdr:colOff>0</xdr:colOff>
          <xdr:row>1</xdr:row>
          <xdr:rowOff>236220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B0AF3CA2-BFAA-4A38-A3E6-DE8AE4D106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Eladás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B1:I18"/>
  <sheetViews>
    <sheetView tabSelected="1" workbookViewId="0">
      <selection activeCell="D8" sqref="D8"/>
    </sheetView>
  </sheetViews>
  <sheetFormatPr defaultColWidth="9.109375" defaultRowHeight="13.8" x14ac:dyDescent="0.25"/>
  <cols>
    <col min="1" max="1" width="3.33203125" style="4" customWidth="1"/>
    <col min="2" max="2" width="1.33203125" style="4" customWidth="1"/>
    <col min="3" max="3" width="16.109375" style="4" customWidth="1"/>
    <col min="4" max="4" width="24.5546875" style="4" customWidth="1"/>
    <col min="5" max="6" width="9.6640625" style="4" customWidth="1"/>
    <col min="7" max="7" width="9.44140625" style="4" customWidth="1"/>
    <col min="8" max="8" width="6.88671875" style="4" customWidth="1"/>
    <col min="9" max="9" width="1.33203125" style="4" customWidth="1"/>
    <col min="10" max="10" width="9.109375" style="4" customWidth="1"/>
    <col min="11" max="16384" width="9.109375" style="4"/>
  </cols>
  <sheetData>
    <row r="1" spans="2:9" x14ac:dyDescent="0.25">
      <c r="B1" s="3"/>
      <c r="C1" s="3"/>
      <c r="D1" s="3"/>
      <c r="E1" s="3"/>
      <c r="F1" s="3"/>
      <c r="G1" s="3"/>
      <c r="H1" s="3"/>
      <c r="I1" s="3"/>
    </row>
    <row r="2" spans="2:9" ht="30.75" customHeight="1" x14ac:dyDescent="0.25">
      <c r="B2" s="5"/>
      <c r="C2" s="10" t="s">
        <v>0</v>
      </c>
      <c r="D2" s="5"/>
      <c r="E2" s="5"/>
      <c r="F2" s="5"/>
      <c r="G2" s="5"/>
      <c r="H2" s="5"/>
      <c r="I2" s="5"/>
    </row>
    <row r="3" spans="2:9" ht="15" x14ac:dyDescent="0.25">
      <c r="B3" s="5"/>
      <c r="C3" s="12"/>
      <c r="D3" s="12"/>
      <c r="E3" s="12"/>
      <c r="F3" s="12"/>
      <c r="G3" s="12"/>
      <c r="H3" s="12"/>
      <c r="I3" s="5"/>
    </row>
    <row r="4" spans="2:9" ht="15" x14ac:dyDescent="0.25">
      <c r="B4" s="5"/>
      <c r="C4" s="1" t="s">
        <v>1</v>
      </c>
      <c r="D4" s="13">
        <f ca="1">TODAY()</f>
        <v>43795</v>
      </c>
      <c r="E4" s="12"/>
      <c r="F4" s="12"/>
      <c r="G4" s="12"/>
      <c r="H4" s="12"/>
      <c r="I4" s="5"/>
    </row>
    <row r="5" spans="2:9" ht="15" x14ac:dyDescent="0.25">
      <c r="B5" s="5"/>
      <c r="C5" s="1"/>
      <c r="D5" s="12"/>
      <c r="E5" s="12"/>
      <c r="F5" s="12"/>
      <c r="G5" s="12"/>
      <c r="H5" s="12"/>
      <c r="I5" s="5"/>
    </row>
    <row r="6" spans="2:9" ht="21.75" customHeight="1" x14ac:dyDescent="0.25">
      <c r="B6" s="5"/>
      <c r="C6" s="1" t="s">
        <v>2</v>
      </c>
      <c r="D6" s="34">
        <v>1</v>
      </c>
      <c r="E6" s="12"/>
      <c r="F6" s="12"/>
      <c r="G6" s="71">
        <f>COUNTIF(termekek!A4:A1000,D8)</f>
        <v>1</v>
      </c>
      <c r="H6" s="12"/>
      <c r="I6" s="5"/>
    </row>
    <row r="7" spans="2:9" ht="15" x14ac:dyDescent="0.25">
      <c r="B7" s="5"/>
      <c r="C7" s="1"/>
      <c r="D7" s="12"/>
      <c r="E7" s="12"/>
      <c r="F7" s="11"/>
      <c r="G7" s="11"/>
      <c r="H7" s="12"/>
      <c r="I7" s="5"/>
    </row>
    <row r="8" spans="2:9" ht="15" x14ac:dyDescent="0.25">
      <c r="B8" s="5"/>
      <c r="C8" s="2" t="s">
        <v>3</v>
      </c>
      <c r="D8" s="36">
        <v>9789638623263</v>
      </c>
      <c r="E8" s="2"/>
      <c r="F8" s="2" t="s">
        <v>4</v>
      </c>
      <c r="G8" s="35">
        <f>G10</f>
        <v>2490</v>
      </c>
      <c r="H8" s="12" t="s">
        <v>7</v>
      </c>
      <c r="I8" s="5"/>
    </row>
    <row r="9" spans="2:9" ht="15" x14ac:dyDescent="0.25">
      <c r="B9" s="5"/>
      <c r="C9" s="2"/>
      <c r="D9" s="12"/>
      <c r="E9" s="12"/>
      <c r="F9" s="12"/>
      <c r="G9" s="12"/>
      <c r="H9" s="12"/>
      <c r="I9" s="5"/>
    </row>
    <row r="10" spans="2:9" ht="15" x14ac:dyDescent="0.25">
      <c r="B10" s="5"/>
      <c r="C10" s="11" t="s">
        <v>5</v>
      </c>
      <c r="D10" s="16" t="str">
        <f>VLOOKUP(D8,termekek!A$4:J$998,2)</f>
        <v>Hogyan használjam? c. könyv</v>
      </c>
      <c r="E10" s="12"/>
      <c r="F10" s="11" t="s">
        <v>43</v>
      </c>
      <c r="G10" s="14">
        <f>VLOOKUP(D8,termekek!A$4:J$998,5)</f>
        <v>2490</v>
      </c>
      <c r="H10" s="12" t="s">
        <v>7</v>
      </c>
      <c r="I10" s="5"/>
    </row>
    <row r="11" spans="2:9" ht="15" x14ac:dyDescent="0.25">
      <c r="B11" s="5"/>
      <c r="C11" s="11"/>
      <c r="D11" s="12"/>
      <c r="E11" s="12"/>
      <c r="F11" s="12"/>
      <c r="G11" s="12"/>
      <c r="H11" s="12"/>
      <c r="I11" s="5"/>
    </row>
    <row r="12" spans="2:9" ht="30" customHeight="1" x14ac:dyDescent="0.25">
      <c r="B12" s="5"/>
      <c r="C12" s="11" t="s">
        <v>6</v>
      </c>
      <c r="D12" s="9">
        <f>D6*G8</f>
        <v>2490</v>
      </c>
      <c r="E12" s="12" t="s">
        <v>7</v>
      </c>
      <c r="F12" s="12" t="s">
        <v>8</v>
      </c>
      <c r="G12" s="14">
        <f>VLOOKUP(D8,termekek!A$4:J$998,8)</f>
        <v>0</v>
      </c>
      <c r="H12" s="12" t="s">
        <v>9</v>
      </c>
      <c r="I12" s="5"/>
    </row>
    <row r="13" spans="2:9" ht="12.75" customHeight="1" x14ac:dyDescent="0.25">
      <c r="B13" s="5"/>
      <c r="C13" s="11"/>
      <c r="D13" s="11"/>
      <c r="E13" s="12"/>
      <c r="F13" s="12"/>
      <c r="G13" s="12"/>
      <c r="H13" s="12"/>
      <c r="I13" s="5"/>
    </row>
    <row r="14" spans="2:9" ht="15" x14ac:dyDescent="0.25">
      <c r="B14" s="5"/>
      <c r="C14" s="11"/>
      <c r="D14" s="12"/>
      <c r="E14" s="12"/>
      <c r="F14" s="12"/>
      <c r="G14" s="12"/>
      <c r="H14" s="12"/>
      <c r="I14" s="5"/>
    </row>
    <row r="15" spans="2:9" x14ac:dyDescent="0.25">
      <c r="B15" s="5"/>
      <c r="C15" s="7"/>
      <c r="D15" s="6"/>
      <c r="E15" s="6"/>
      <c r="F15" s="6"/>
      <c r="G15" s="6"/>
      <c r="H15" s="6"/>
      <c r="I15" s="5"/>
    </row>
    <row r="16" spans="2:9" x14ac:dyDescent="0.25">
      <c r="B16" s="5"/>
      <c r="C16" s="7"/>
      <c r="D16" s="6"/>
      <c r="E16" s="6"/>
      <c r="F16" s="6"/>
      <c r="G16" s="6"/>
      <c r="H16" s="6"/>
      <c r="I16" s="5"/>
    </row>
    <row r="17" spans="2:9" x14ac:dyDescent="0.25">
      <c r="B17" s="5"/>
      <c r="C17" s="6"/>
      <c r="D17" s="6"/>
      <c r="E17" s="6"/>
      <c r="F17" s="6"/>
      <c r="G17" s="6"/>
      <c r="H17" s="6"/>
      <c r="I17" s="5"/>
    </row>
    <row r="18" spans="2:9" ht="6" customHeight="1" x14ac:dyDescent="0.25">
      <c r="B18" s="5"/>
      <c r="C18" s="5"/>
      <c r="D18" s="5"/>
      <c r="E18" s="5"/>
      <c r="F18" s="5"/>
      <c r="G18" s="5"/>
      <c r="H18" s="5"/>
      <c r="I18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4</xdr:col>
                    <xdr:colOff>182880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ladas">
                <anchor moveWithCells="1" sizeWithCells="1">
                  <from>
                    <xdr:col>3</xdr:col>
                    <xdr:colOff>0</xdr:colOff>
                    <xdr:row>14</xdr:row>
                    <xdr:rowOff>15240</xdr:rowOff>
                  </from>
                  <to>
                    <xdr:col>7</xdr:col>
                    <xdr:colOff>0</xdr:colOff>
                    <xdr:row>16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lapvaltas_beszerzes">
                <anchor moveWithCells="1" sizeWithCells="1">
                  <from>
                    <xdr:col>5</xdr:col>
                    <xdr:colOff>30480</xdr:colOff>
                    <xdr:row>1</xdr:row>
                    <xdr:rowOff>68580</xdr:rowOff>
                  </from>
                  <to>
                    <xdr:col>7</xdr:col>
                    <xdr:colOff>213360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apvaltas_kimutatasok">
                <anchor moveWithCells="1" sizeWithCells="1">
                  <from>
                    <xdr:col>5</xdr:col>
                    <xdr:colOff>30480</xdr:colOff>
                    <xdr:row>3</xdr:row>
                    <xdr:rowOff>121920</xdr:rowOff>
                  </from>
                  <to>
                    <xdr:col>7</xdr:col>
                    <xdr:colOff>213360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lapvaltas_termekadatok">
                <anchor moveWithCells="1" sizeWithCells="1">
                  <from>
                    <xdr:col>5</xdr:col>
                    <xdr:colOff>30480</xdr:colOff>
                    <xdr:row>2</xdr:row>
                    <xdr:rowOff>45720</xdr:rowOff>
                  </from>
                  <to>
                    <xdr:col>7</xdr:col>
                    <xdr:colOff>213360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6"/>
  <dimension ref="B1:I19"/>
  <sheetViews>
    <sheetView workbookViewId="0">
      <selection activeCell="D6" sqref="D6"/>
    </sheetView>
  </sheetViews>
  <sheetFormatPr defaultColWidth="9.109375" defaultRowHeight="13.8" x14ac:dyDescent="0.25"/>
  <cols>
    <col min="1" max="1" width="3.33203125" style="4" customWidth="1"/>
    <col min="2" max="2" width="1.33203125" style="4" customWidth="1"/>
    <col min="3" max="3" width="16.109375" style="4" customWidth="1"/>
    <col min="4" max="4" width="24.5546875" style="4" customWidth="1"/>
    <col min="5" max="7" width="9.6640625" style="4" customWidth="1"/>
    <col min="8" max="8" width="6.88671875" style="4" customWidth="1"/>
    <col min="9" max="9" width="1.33203125" style="4" customWidth="1"/>
    <col min="10" max="10" width="9.109375" style="4" customWidth="1"/>
    <col min="11" max="16384" width="9.109375" style="4"/>
  </cols>
  <sheetData>
    <row r="1" spans="2:9" x14ac:dyDescent="0.25">
      <c r="B1" s="3"/>
      <c r="C1" s="3"/>
      <c r="D1" s="3"/>
      <c r="E1" s="3"/>
      <c r="F1" s="3"/>
      <c r="G1" s="3"/>
      <c r="H1" s="3"/>
      <c r="I1" s="3"/>
    </row>
    <row r="2" spans="2:9" ht="30.75" customHeight="1" x14ac:dyDescent="0.25">
      <c r="B2" s="5"/>
      <c r="C2" s="10" t="s">
        <v>22</v>
      </c>
      <c r="D2" s="5"/>
      <c r="E2" s="5"/>
      <c r="F2" s="5"/>
      <c r="G2" s="5"/>
      <c r="H2" s="5"/>
      <c r="I2" s="5"/>
    </row>
    <row r="3" spans="2:9" ht="15" x14ac:dyDescent="0.25">
      <c r="B3" s="5"/>
      <c r="C3" s="12"/>
      <c r="D3" s="12"/>
      <c r="E3" s="12"/>
      <c r="F3" s="12"/>
      <c r="G3" s="12"/>
      <c r="H3" s="12"/>
      <c r="I3" s="5"/>
    </row>
    <row r="4" spans="2:9" ht="15" x14ac:dyDescent="0.25">
      <c r="B4" s="5"/>
      <c r="C4" s="1" t="s">
        <v>1</v>
      </c>
      <c r="D4" s="13">
        <f ca="1">TODAY()</f>
        <v>43795</v>
      </c>
      <c r="E4" s="12"/>
      <c r="F4" s="12"/>
      <c r="G4" s="12"/>
      <c r="H4" s="12"/>
      <c r="I4" s="5"/>
    </row>
    <row r="5" spans="2:9" ht="15" x14ac:dyDescent="0.25">
      <c r="B5" s="5"/>
      <c r="C5" s="1"/>
      <c r="D5" s="12"/>
      <c r="E5" s="12"/>
      <c r="F5" s="12"/>
      <c r="G5" s="12"/>
      <c r="H5" s="12"/>
      <c r="I5" s="5"/>
    </row>
    <row r="6" spans="2:9" ht="21.75" customHeight="1" x14ac:dyDescent="0.25">
      <c r="B6" s="5"/>
      <c r="C6" s="1" t="s">
        <v>2</v>
      </c>
      <c r="D6" s="37">
        <v>1</v>
      </c>
      <c r="E6" s="12"/>
      <c r="F6" s="11"/>
      <c r="G6" s="72">
        <f>COUNTIF(termekek!A4:A1000,D8)</f>
        <v>1</v>
      </c>
      <c r="H6" s="12"/>
      <c r="I6" s="5"/>
    </row>
    <row r="7" spans="2:9" ht="15" x14ac:dyDescent="0.25">
      <c r="B7" s="5"/>
      <c r="C7" s="1"/>
      <c r="D7" s="12"/>
      <c r="E7" s="12"/>
      <c r="F7" s="11"/>
      <c r="G7" s="11"/>
      <c r="H7" s="12"/>
      <c r="I7" s="5"/>
    </row>
    <row r="8" spans="2:9" ht="15" x14ac:dyDescent="0.25">
      <c r="B8" s="5"/>
      <c r="C8" s="2" t="s">
        <v>3</v>
      </c>
      <c r="D8" s="36">
        <v>1</v>
      </c>
      <c r="E8" s="2"/>
      <c r="F8" s="2" t="s">
        <v>45</v>
      </c>
      <c r="G8" s="35">
        <f>G10</f>
        <v>15</v>
      </c>
      <c r="H8" s="12" t="s">
        <v>7</v>
      </c>
      <c r="I8" s="5"/>
    </row>
    <row r="9" spans="2:9" ht="15" x14ac:dyDescent="0.25">
      <c r="B9" s="5"/>
      <c r="C9" s="2"/>
      <c r="D9" s="12"/>
      <c r="E9" s="12"/>
      <c r="F9" s="12"/>
      <c r="G9" s="12"/>
      <c r="H9" s="12"/>
      <c r="I9" s="5"/>
    </row>
    <row r="10" spans="2:9" ht="15" x14ac:dyDescent="0.25">
      <c r="B10" s="5"/>
      <c r="C10" s="11" t="s">
        <v>5</v>
      </c>
      <c r="D10" s="16" t="str">
        <f>VLOOKUP(D8,termekek!A$4:J$998,2)</f>
        <v>Tengeri herkentyű</v>
      </c>
      <c r="E10" s="12"/>
      <c r="F10" s="11" t="s">
        <v>46</v>
      </c>
      <c r="G10" s="14">
        <f>VLOOKUP(D8,termekek!A$4:J$998,4)</f>
        <v>15</v>
      </c>
      <c r="H10" s="12" t="s">
        <v>7</v>
      </c>
      <c r="I10" s="5"/>
    </row>
    <row r="11" spans="2:9" ht="15" x14ac:dyDescent="0.25">
      <c r="B11" s="5"/>
      <c r="C11" s="11"/>
      <c r="D11" s="12"/>
      <c r="E11" s="12"/>
      <c r="F11" s="12"/>
      <c r="G11" s="12"/>
      <c r="H11" s="12"/>
      <c r="I11" s="5"/>
    </row>
    <row r="12" spans="2:9" ht="14.25" customHeight="1" x14ac:dyDescent="0.25">
      <c r="B12" s="5"/>
      <c r="C12" s="11" t="s">
        <v>6</v>
      </c>
      <c r="D12" s="8">
        <f>D6*G8</f>
        <v>15</v>
      </c>
      <c r="E12" s="12" t="s">
        <v>7</v>
      </c>
      <c r="F12" s="12" t="s">
        <v>8</v>
      </c>
      <c r="G12" s="14">
        <f>VLOOKUP(D8,termekek!A$4:J$998,8)</f>
        <v>0</v>
      </c>
      <c r="H12" s="12" t="s">
        <v>9</v>
      </c>
      <c r="I12" s="5"/>
    </row>
    <row r="13" spans="2:9" ht="14.25" customHeight="1" x14ac:dyDescent="0.25">
      <c r="B13" s="5"/>
      <c r="C13" s="11"/>
      <c r="D13" s="12"/>
      <c r="E13" s="12"/>
      <c r="F13" s="12"/>
      <c r="G13" s="12"/>
      <c r="H13" s="12"/>
      <c r="I13" s="5"/>
    </row>
    <row r="14" spans="2:9" ht="14.25" customHeight="1" x14ac:dyDescent="0.25">
      <c r="B14" s="5"/>
      <c r="C14" s="11" t="s">
        <v>24</v>
      </c>
      <c r="D14" s="14" t="str">
        <f>VLOOKUP(VLOOKUP(D8,termekek!A$2:J$998,3),beszallitok!A$4:J$1000,2)</f>
        <v>Zabhegyező Kft.</v>
      </c>
      <c r="E14" s="12"/>
      <c r="F14" s="12"/>
      <c r="G14" s="12"/>
      <c r="H14" s="12"/>
      <c r="I14" s="5"/>
    </row>
    <row r="15" spans="2:9" ht="15" customHeight="1" x14ac:dyDescent="0.25">
      <c r="B15" s="5"/>
      <c r="C15" s="11"/>
      <c r="D15" s="12"/>
      <c r="E15" s="12"/>
      <c r="F15" s="12"/>
      <c r="G15" s="12"/>
      <c r="H15" s="12"/>
      <c r="I15" s="5"/>
    </row>
    <row r="16" spans="2:9" x14ac:dyDescent="0.25">
      <c r="B16" s="5"/>
      <c r="C16" s="7"/>
      <c r="D16" s="6"/>
      <c r="E16" s="6"/>
      <c r="F16" s="6"/>
      <c r="G16" s="6"/>
      <c r="H16" s="6"/>
      <c r="I16" s="5"/>
    </row>
    <row r="17" spans="2:9" x14ac:dyDescent="0.25">
      <c r="B17" s="5"/>
      <c r="C17" s="7"/>
      <c r="D17" s="6"/>
      <c r="E17" s="6"/>
      <c r="F17" s="6"/>
      <c r="G17" s="6"/>
      <c r="H17" s="6"/>
      <c r="I17" s="5"/>
    </row>
    <row r="18" spans="2:9" x14ac:dyDescent="0.25">
      <c r="B18" s="5"/>
      <c r="C18" s="6"/>
      <c r="D18" s="6"/>
      <c r="E18" s="6"/>
      <c r="F18" s="6"/>
      <c r="G18" s="6"/>
      <c r="H18" s="6"/>
      <c r="I18" s="5"/>
    </row>
    <row r="19" spans="2:9" ht="6" customHeight="1" x14ac:dyDescent="0.25">
      <c r="B19" s="5"/>
      <c r="C19" s="5"/>
      <c r="D19" s="5"/>
      <c r="E19" s="5"/>
      <c r="F19" s="5"/>
      <c r="G19" s="5"/>
      <c r="H19" s="5"/>
      <c r="I19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4</xdr:col>
                    <xdr:colOff>182880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eszerzes">
                <anchor moveWithCells="1" sizeWithCells="1">
                  <from>
                    <xdr:col>3</xdr:col>
                    <xdr:colOff>0</xdr:colOff>
                    <xdr:row>15</xdr:row>
                    <xdr:rowOff>15240</xdr:rowOff>
                  </from>
                  <to>
                    <xdr:col>7</xdr:col>
                    <xdr:colOff>7620</xdr:colOff>
                    <xdr:row>17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lapvaltas_eladas">
                <anchor moveWithCells="1" sizeWithCells="1">
                  <from>
                    <xdr:col>5</xdr:col>
                    <xdr:colOff>38100</xdr:colOff>
                    <xdr:row>1</xdr:row>
                    <xdr:rowOff>68580</xdr:rowOff>
                  </from>
                  <to>
                    <xdr:col>7</xdr:col>
                    <xdr:colOff>220980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lapvaltas_ujtermek">
                <anchor moveWithCells="1" sizeWithCells="1">
                  <from>
                    <xdr:col>5</xdr:col>
                    <xdr:colOff>30480</xdr:colOff>
                    <xdr:row>4</xdr:row>
                    <xdr:rowOff>60960</xdr:rowOff>
                  </from>
                  <to>
                    <xdr:col>7</xdr:col>
                    <xdr:colOff>220980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lapvaltas_termekadatok">
                <anchor moveWithCells="1" sizeWithCells="1">
                  <from>
                    <xdr:col>5</xdr:col>
                    <xdr:colOff>38100</xdr:colOff>
                    <xdr:row>2</xdr:row>
                    <xdr:rowOff>144780</xdr:rowOff>
                  </from>
                  <to>
                    <xdr:col>7</xdr:col>
                    <xdr:colOff>220980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unka2"/>
  <dimension ref="B1:I19"/>
  <sheetViews>
    <sheetView workbookViewId="0">
      <selection activeCell="D4" sqref="D4"/>
    </sheetView>
  </sheetViews>
  <sheetFormatPr defaultColWidth="9.109375" defaultRowHeight="13.8" x14ac:dyDescent="0.25"/>
  <cols>
    <col min="1" max="1" width="3.33203125" style="4" customWidth="1"/>
    <col min="2" max="2" width="1.33203125" style="4" customWidth="1"/>
    <col min="3" max="3" width="16.109375" style="4" customWidth="1"/>
    <col min="4" max="4" width="31.5546875" style="4" customWidth="1"/>
    <col min="5" max="5" width="6.44140625" style="4" customWidth="1"/>
    <col min="6" max="6" width="11.33203125" style="4" customWidth="1"/>
    <col min="7" max="7" width="9.44140625" style="4" customWidth="1"/>
    <col min="8" max="8" width="6.88671875" style="4" customWidth="1"/>
    <col min="9" max="9" width="1.33203125" style="4" customWidth="1"/>
    <col min="10" max="10" width="9.109375" style="4" customWidth="1"/>
    <col min="11" max="16384" width="9.109375" style="4"/>
  </cols>
  <sheetData>
    <row r="1" spans="2:9" x14ac:dyDescent="0.25">
      <c r="B1" s="3"/>
      <c r="C1" s="3"/>
      <c r="D1" s="3"/>
      <c r="E1" s="3"/>
      <c r="F1" s="3"/>
      <c r="G1" s="3"/>
      <c r="H1" s="3"/>
      <c r="I1" s="3"/>
    </row>
    <row r="2" spans="2:9" ht="30.75" customHeight="1" x14ac:dyDescent="0.25">
      <c r="B2" s="5"/>
      <c r="C2" s="42" t="s">
        <v>50</v>
      </c>
      <c r="D2" s="43"/>
      <c r="E2" s="43"/>
      <c r="F2" s="43"/>
      <c r="G2" s="43"/>
      <c r="H2" s="43"/>
      <c r="I2" s="43"/>
    </row>
    <row r="3" spans="2:9" ht="15" x14ac:dyDescent="0.25">
      <c r="B3" s="5"/>
      <c r="C3" s="44"/>
      <c r="D3" s="44"/>
      <c r="E3" s="44"/>
      <c r="F3" s="44"/>
      <c r="G3" s="44"/>
      <c r="H3" s="44"/>
      <c r="I3" s="43"/>
    </row>
    <row r="4" spans="2:9" ht="15" x14ac:dyDescent="0.25">
      <c r="B4" s="5"/>
      <c r="C4" s="2" t="s">
        <v>3</v>
      </c>
      <c r="D4" s="36">
        <v>2</v>
      </c>
      <c r="E4" s="44"/>
      <c r="F4" s="44"/>
      <c r="G4" s="44"/>
      <c r="H4" s="44"/>
      <c r="I4" s="43"/>
    </row>
    <row r="5" spans="2:9" ht="15" x14ac:dyDescent="0.25">
      <c r="B5" s="5"/>
      <c r="C5" s="1"/>
      <c r="D5" s="44"/>
      <c r="E5" s="44"/>
      <c r="F5" s="44"/>
      <c r="G5" s="44"/>
      <c r="H5" s="44"/>
      <c r="I5" s="43"/>
    </row>
    <row r="6" spans="2:9" ht="21.75" customHeight="1" x14ac:dyDescent="0.25">
      <c r="B6" s="5"/>
      <c r="C6" s="1" t="s">
        <v>52</v>
      </c>
      <c r="D6" s="41" t="str">
        <f>D8</f>
        <v>Dűzni</v>
      </c>
      <c r="E6" s="44"/>
      <c r="F6" s="44"/>
      <c r="G6" s="44"/>
      <c r="H6" s="44"/>
      <c r="I6" s="43"/>
    </row>
    <row r="7" spans="2:9" ht="15" x14ac:dyDescent="0.25">
      <c r="B7" s="5"/>
      <c r="C7" s="1"/>
      <c r="D7" s="44"/>
      <c r="E7" s="44"/>
      <c r="F7" s="46"/>
      <c r="G7" s="46"/>
      <c r="H7" s="44"/>
      <c r="I7" s="43"/>
    </row>
    <row r="8" spans="2:9" ht="15" x14ac:dyDescent="0.25">
      <c r="B8" s="5"/>
      <c r="C8" s="46" t="s">
        <v>51</v>
      </c>
      <c r="D8" s="47" t="str">
        <f>VLOOKUP(D4,termekek!A$2:J$998,2)</f>
        <v>Dűzni</v>
      </c>
      <c r="E8" s="2"/>
      <c r="F8" s="44"/>
      <c r="G8" s="52" t="str">
        <f>TEXT(termekek!A1-RANK(D4,termekek!A4:A998),"#####")</f>
        <v>6</v>
      </c>
      <c r="H8" s="44"/>
      <c r="I8" s="43"/>
    </row>
    <row r="9" spans="2:9" ht="15" x14ac:dyDescent="0.25">
      <c r="B9" s="5"/>
      <c r="C9" s="2"/>
      <c r="D9" s="44"/>
      <c r="E9" s="44"/>
      <c r="F9" s="44"/>
      <c r="G9" s="44"/>
      <c r="H9" s="44"/>
      <c r="I9" s="43"/>
    </row>
    <row r="10" spans="2:9" ht="15" x14ac:dyDescent="0.25">
      <c r="B10" s="5"/>
      <c r="C10" s="46" t="s">
        <v>24</v>
      </c>
      <c r="D10" s="47" t="str">
        <f>VLOOKUP(VLOOKUP(D4,termekek!A$2:J$998,3),beszallitok!A$4:J$1000,2)</f>
        <v>Gipsz Jakab</v>
      </c>
      <c r="E10" s="44"/>
      <c r="F10" s="44" t="s">
        <v>8</v>
      </c>
      <c r="G10" s="48">
        <f>VLOOKUP(D4,termekek!A$2:J$998,8)</f>
        <v>0</v>
      </c>
      <c r="H10" s="44" t="s">
        <v>9</v>
      </c>
      <c r="I10" s="43"/>
    </row>
    <row r="11" spans="2:9" ht="15" x14ac:dyDescent="0.25">
      <c r="B11" s="5"/>
      <c r="C11" s="46"/>
      <c r="D11" s="44"/>
      <c r="E11" s="44"/>
      <c r="F11" s="44"/>
      <c r="G11" s="44"/>
      <c r="H11" s="44"/>
      <c r="I11" s="43"/>
    </row>
    <row r="12" spans="2:9" ht="15" customHeight="1" x14ac:dyDescent="0.25">
      <c r="B12" s="5"/>
      <c r="C12" s="46" t="s">
        <v>26</v>
      </c>
      <c r="D12" s="40">
        <f>G12</f>
        <v>50</v>
      </c>
      <c r="E12" s="44" t="s">
        <v>7</v>
      </c>
      <c r="F12" s="46" t="s">
        <v>43</v>
      </c>
      <c r="G12" s="48">
        <f>VLOOKUP(D4,termekek!A$2:J$998,5)</f>
        <v>50</v>
      </c>
      <c r="H12" s="44" t="s">
        <v>7</v>
      </c>
      <c r="I12" s="43"/>
    </row>
    <row r="13" spans="2:9" ht="15" customHeight="1" x14ac:dyDescent="0.25">
      <c r="B13" s="5"/>
      <c r="C13" s="46"/>
      <c r="D13" s="44"/>
      <c r="E13" s="44"/>
      <c r="F13" s="44"/>
      <c r="G13" s="44"/>
      <c r="H13" s="44"/>
      <c r="I13" s="43"/>
    </row>
    <row r="14" spans="2:9" ht="15" customHeight="1" x14ac:dyDescent="0.25">
      <c r="B14" s="5"/>
      <c r="C14" s="46" t="s">
        <v>23</v>
      </c>
      <c r="D14" s="40">
        <f>G14</f>
        <v>30</v>
      </c>
      <c r="E14" s="44" t="s">
        <v>7</v>
      </c>
      <c r="F14" s="46" t="s">
        <v>43</v>
      </c>
      <c r="G14" s="48">
        <f>VLOOKUP(D4,termekek!A$2:J$998,4)</f>
        <v>30</v>
      </c>
      <c r="H14" s="44" t="s">
        <v>7</v>
      </c>
      <c r="I14" s="43"/>
    </row>
    <row r="15" spans="2:9" ht="15" x14ac:dyDescent="0.25">
      <c r="B15" s="5"/>
      <c r="C15" s="46"/>
      <c r="D15" s="44"/>
      <c r="E15" s="44"/>
      <c r="F15" s="44"/>
      <c r="G15" s="44"/>
      <c r="H15" s="44"/>
      <c r="I15" s="43"/>
    </row>
    <row r="16" spans="2:9" x14ac:dyDescent="0.25">
      <c r="B16" s="5"/>
      <c r="C16" s="49"/>
      <c r="D16" s="50"/>
      <c r="E16" s="50"/>
      <c r="F16" s="50"/>
      <c r="G16" s="50"/>
      <c r="H16" s="50"/>
      <c r="I16" s="43"/>
    </row>
    <row r="17" spans="2:9" x14ac:dyDescent="0.25">
      <c r="B17" s="5"/>
      <c r="C17" s="49"/>
      <c r="D17" s="50"/>
      <c r="E17" s="50"/>
      <c r="F17" s="50"/>
      <c r="G17" s="50"/>
      <c r="H17" s="50"/>
      <c r="I17" s="43"/>
    </row>
    <row r="18" spans="2:9" x14ac:dyDescent="0.25">
      <c r="B18" s="5"/>
      <c r="C18" s="50"/>
      <c r="D18" s="50"/>
      <c r="E18" s="50"/>
      <c r="F18" s="50"/>
      <c r="G18" s="50"/>
      <c r="H18" s="50"/>
      <c r="I18" s="43"/>
    </row>
    <row r="19" spans="2:9" ht="6" customHeight="1" x14ac:dyDescent="0.25">
      <c r="B19" s="5"/>
      <c r="C19" s="43"/>
      <c r="D19" s="43"/>
      <c r="E19" s="43"/>
      <c r="F19" s="43"/>
      <c r="G19" s="43"/>
      <c r="H19" s="43"/>
      <c r="I19" s="43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ermekadatmodositas">
                <anchor moveWithCells="1" sizeWithCells="1">
                  <from>
                    <xdr:col>3</xdr:col>
                    <xdr:colOff>0</xdr:colOff>
                    <xdr:row>15</xdr:row>
                    <xdr:rowOff>15240</xdr:rowOff>
                  </from>
                  <to>
                    <xdr:col>7</xdr:col>
                    <xdr:colOff>0</xdr:colOff>
                    <xdr:row>17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lapvaltas_beszerzes">
                <anchor moveWithCells="1" sizeWithCells="1">
                  <from>
                    <xdr:col>5</xdr:col>
                    <xdr:colOff>38100</xdr:colOff>
                    <xdr:row>1</xdr:row>
                    <xdr:rowOff>68580</xdr:rowOff>
                  </from>
                  <to>
                    <xdr:col>7</xdr:col>
                    <xdr:colOff>220980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lapvaltas_kimutatasok">
                <anchor moveWithCells="1" sizeWithCells="1">
                  <from>
                    <xdr:col>5</xdr:col>
                    <xdr:colOff>38100</xdr:colOff>
                    <xdr:row>4</xdr:row>
                    <xdr:rowOff>53340</xdr:rowOff>
                  </from>
                  <to>
                    <xdr:col>7</xdr:col>
                    <xdr:colOff>220980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lapvaltas_eladas">
                <anchor moveWithCells="1" sizeWithCells="1">
                  <from>
                    <xdr:col>5</xdr:col>
                    <xdr:colOff>30480</xdr:colOff>
                    <xdr:row>2</xdr:row>
                    <xdr:rowOff>129540</xdr:rowOff>
                  </from>
                  <to>
                    <xdr:col>7</xdr:col>
                    <xdr:colOff>220980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unka7"/>
  <dimension ref="B1:I19"/>
  <sheetViews>
    <sheetView workbookViewId="0">
      <selection activeCell="D8" sqref="D8"/>
    </sheetView>
  </sheetViews>
  <sheetFormatPr defaultColWidth="9.109375" defaultRowHeight="13.8" x14ac:dyDescent="0.25"/>
  <cols>
    <col min="1" max="1" width="3.33203125" style="4" customWidth="1"/>
    <col min="2" max="2" width="1.33203125" style="4" customWidth="1"/>
    <col min="3" max="3" width="16.109375" style="4" customWidth="1"/>
    <col min="4" max="4" width="24.5546875" style="4" customWidth="1"/>
    <col min="5" max="7" width="9.6640625" style="4" customWidth="1"/>
    <col min="8" max="8" width="6.88671875" style="4" customWidth="1"/>
    <col min="9" max="9" width="1.33203125" style="4" customWidth="1"/>
    <col min="10" max="10" width="9.109375" style="4" customWidth="1"/>
    <col min="11" max="16384" width="9.109375" style="4"/>
  </cols>
  <sheetData>
    <row r="1" spans="2:9" x14ac:dyDescent="0.25">
      <c r="B1" s="3"/>
      <c r="C1" s="3"/>
      <c r="D1" s="3"/>
      <c r="E1" s="3"/>
      <c r="F1" s="3"/>
      <c r="G1" s="3"/>
      <c r="H1" s="3"/>
      <c r="I1" s="3"/>
    </row>
    <row r="2" spans="2:9" ht="30.75" customHeight="1" x14ac:dyDescent="0.25">
      <c r="B2" s="5"/>
      <c r="C2" s="10" t="s">
        <v>25</v>
      </c>
      <c r="D2" s="5"/>
      <c r="E2" s="5"/>
      <c r="F2" s="5"/>
      <c r="G2" s="5"/>
      <c r="H2" s="5"/>
      <c r="I2" s="5"/>
    </row>
    <row r="3" spans="2:9" ht="15" x14ac:dyDescent="0.25">
      <c r="B3" s="5"/>
      <c r="C3" s="12"/>
      <c r="D3" s="12"/>
      <c r="E3" s="12"/>
      <c r="F3" s="12"/>
      <c r="G3" s="12"/>
      <c r="H3" s="12"/>
      <c r="I3" s="5"/>
    </row>
    <row r="4" spans="2:9" ht="15" x14ac:dyDescent="0.25">
      <c r="B4" s="5"/>
      <c r="C4" s="1" t="s">
        <v>1</v>
      </c>
      <c r="D4" s="13">
        <f ca="1">TODAY()</f>
        <v>43795</v>
      </c>
      <c r="E4" s="12"/>
      <c r="F4" s="12"/>
      <c r="G4" s="12"/>
      <c r="H4" s="12"/>
      <c r="I4" s="5"/>
    </row>
    <row r="5" spans="2:9" ht="15" x14ac:dyDescent="0.25">
      <c r="B5" s="5"/>
      <c r="C5" s="1"/>
      <c r="D5" s="12"/>
      <c r="E5" s="12"/>
      <c r="F5" s="12"/>
      <c r="G5" s="12"/>
      <c r="H5" s="12"/>
      <c r="I5" s="5"/>
    </row>
    <row r="6" spans="2:9" ht="21.75" customHeight="1" x14ac:dyDescent="0.25">
      <c r="B6" s="5"/>
      <c r="C6" s="1"/>
      <c r="D6" s="17"/>
      <c r="E6" s="12"/>
      <c r="F6" s="12"/>
      <c r="G6" s="12"/>
      <c r="H6" s="12"/>
      <c r="I6" s="5"/>
    </row>
    <row r="7" spans="2:9" ht="15" x14ac:dyDescent="0.25">
      <c r="B7" s="5"/>
      <c r="C7" s="1"/>
      <c r="D7" s="12"/>
      <c r="E7" s="12"/>
      <c r="F7" s="12"/>
      <c r="G7" s="12"/>
      <c r="H7" s="12"/>
      <c r="I7" s="5"/>
    </row>
    <row r="8" spans="2:9" ht="15" x14ac:dyDescent="0.25">
      <c r="B8" s="5"/>
      <c r="C8" s="2" t="s">
        <v>3</v>
      </c>
      <c r="D8" s="36">
        <v>2</v>
      </c>
      <c r="E8" s="2"/>
      <c r="F8" s="2" t="s">
        <v>23</v>
      </c>
      <c r="G8" s="53">
        <v>10</v>
      </c>
      <c r="H8" s="12" t="s">
        <v>7</v>
      </c>
      <c r="I8" s="5"/>
    </row>
    <row r="9" spans="2:9" ht="15" x14ac:dyDescent="0.25">
      <c r="B9" s="5"/>
      <c r="C9" s="2"/>
      <c r="D9" s="12"/>
      <c r="E9" s="12"/>
      <c r="F9" s="12"/>
      <c r="G9" s="12"/>
      <c r="H9" s="12"/>
      <c r="I9" s="5"/>
    </row>
    <row r="10" spans="2:9" ht="15" x14ac:dyDescent="0.25">
      <c r="B10" s="5"/>
      <c r="C10" s="11" t="s">
        <v>5</v>
      </c>
      <c r="D10" s="35" t="s">
        <v>75</v>
      </c>
      <c r="E10" s="12"/>
      <c r="F10" s="11" t="s">
        <v>26</v>
      </c>
      <c r="G10" s="35">
        <v>20</v>
      </c>
      <c r="H10" s="12" t="s">
        <v>7</v>
      </c>
      <c r="I10" s="5"/>
    </row>
    <row r="11" spans="2:9" ht="15" x14ac:dyDescent="0.25">
      <c r="B11" s="5"/>
      <c r="C11" s="11"/>
      <c r="D11" s="12"/>
      <c r="E11" s="12"/>
      <c r="F11" s="12"/>
      <c r="G11" s="12"/>
      <c r="H11" s="12"/>
      <c r="I11" s="5"/>
    </row>
    <row r="12" spans="2:9" ht="14.25" customHeight="1" x14ac:dyDescent="0.25">
      <c r="B12" s="5"/>
      <c r="C12" s="11" t="s">
        <v>24</v>
      </c>
      <c r="D12" s="40">
        <v>1</v>
      </c>
      <c r="E12" s="12"/>
      <c r="F12" s="54"/>
      <c r="G12" s="12"/>
      <c r="H12" s="12"/>
      <c r="I12" s="5"/>
    </row>
    <row r="13" spans="2:9" ht="14.25" customHeight="1" x14ac:dyDescent="0.25">
      <c r="B13" s="5"/>
      <c r="C13" s="11"/>
      <c r="D13" s="12"/>
      <c r="E13" s="12"/>
      <c r="F13" s="54"/>
      <c r="G13" s="55">
        <f>COUNTIF(termekek!A4:A999,ujtermek!D8)</f>
        <v>1</v>
      </c>
      <c r="H13" s="12"/>
      <c r="I13" s="5"/>
    </row>
    <row r="14" spans="2:9" ht="14.25" customHeight="1" x14ac:dyDescent="0.25">
      <c r="B14" s="5"/>
      <c r="C14" s="11"/>
      <c r="D14" s="15" t="str">
        <f>VLOOKUP(D12,beszallitok!A4:D50,3)</f>
        <v>9876 Bányatelep, Kőfejtő u. 1.</v>
      </c>
      <c r="E14" s="12"/>
      <c r="F14" s="54"/>
      <c r="G14" s="12"/>
      <c r="H14" s="12"/>
      <c r="I14" s="5"/>
    </row>
    <row r="15" spans="2:9" ht="15" customHeight="1" x14ac:dyDescent="0.25">
      <c r="B15" s="5"/>
      <c r="C15" s="11"/>
      <c r="D15" s="12"/>
      <c r="E15" s="12"/>
      <c r="F15" s="12"/>
      <c r="G15" s="12"/>
      <c r="H15" s="12"/>
      <c r="I15" s="5"/>
    </row>
    <row r="16" spans="2:9" x14ac:dyDescent="0.25">
      <c r="B16" s="5"/>
      <c r="C16" s="7"/>
      <c r="D16" s="6"/>
      <c r="E16" s="6"/>
      <c r="F16" s="6"/>
      <c r="G16" s="6"/>
      <c r="H16" s="6"/>
      <c r="I16" s="5"/>
    </row>
    <row r="17" spans="2:9" x14ac:dyDescent="0.25">
      <c r="B17" s="5"/>
      <c r="C17" s="7"/>
      <c r="D17" s="6"/>
      <c r="E17" s="6"/>
      <c r="F17" s="6"/>
      <c r="G17" s="6"/>
      <c r="H17" s="6"/>
      <c r="I17" s="5"/>
    </row>
    <row r="18" spans="2:9" x14ac:dyDescent="0.25">
      <c r="B18" s="5"/>
      <c r="C18" s="6"/>
      <c r="D18" s="6"/>
      <c r="E18" s="6"/>
      <c r="F18" s="6"/>
      <c r="G18" s="6"/>
      <c r="H18" s="6"/>
      <c r="I18" s="5"/>
    </row>
    <row r="19" spans="2:9" ht="6" customHeight="1" x14ac:dyDescent="0.25">
      <c r="B19" s="5"/>
      <c r="C19" s="5"/>
      <c r="D19" s="5"/>
      <c r="E19" s="5"/>
      <c r="F19" s="5"/>
      <c r="G19" s="5"/>
      <c r="H19" s="5"/>
      <c r="I19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ujtermek">
                <anchor moveWithCells="1" sizeWithCells="1">
                  <from>
                    <xdr:col>3</xdr:col>
                    <xdr:colOff>0</xdr:colOff>
                    <xdr:row>15</xdr:row>
                    <xdr:rowOff>15240</xdr:rowOff>
                  </from>
                  <to>
                    <xdr:col>7</xdr:col>
                    <xdr:colOff>0</xdr:colOff>
                    <xdr:row>17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lapvaltas_beszerzes">
                <anchor moveWithCells="1" sizeWithCells="1">
                  <from>
                    <xdr:col>5</xdr:col>
                    <xdr:colOff>38100</xdr:colOff>
                    <xdr:row>2</xdr:row>
                    <xdr:rowOff>129540</xdr:rowOff>
                  </from>
                  <to>
                    <xdr:col>7</xdr:col>
                    <xdr:colOff>198120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lapvaltas_ujbeszallito">
                <anchor moveWithCells="1" sizeWithCells="1">
                  <from>
                    <xdr:col>5</xdr:col>
                    <xdr:colOff>38100</xdr:colOff>
                    <xdr:row>4</xdr:row>
                    <xdr:rowOff>121920</xdr:rowOff>
                  </from>
                  <to>
                    <xdr:col>7</xdr:col>
                    <xdr:colOff>190500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Drop Down 5">
              <controlPr defaultSize="0" autoLine="0" autoPict="0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lapvaltas_eladas">
                <anchor moveWithCells="1" sizeWithCells="1">
                  <from>
                    <xdr:col>5</xdr:col>
                    <xdr:colOff>38100</xdr:colOff>
                    <xdr:row>1</xdr:row>
                    <xdr:rowOff>68580</xdr:rowOff>
                  </from>
                  <to>
                    <xdr:col>7</xdr:col>
                    <xdr:colOff>220980</xdr:colOff>
                    <xdr:row>1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unka11"/>
  <dimension ref="A1:J17"/>
  <sheetViews>
    <sheetView workbookViewId="0">
      <selection activeCell="D6" sqref="D6"/>
    </sheetView>
  </sheetViews>
  <sheetFormatPr defaultColWidth="9.109375" defaultRowHeight="13.8" x14ac:dyDescent="0.25"/>
  <cols>
    <col min="1" max="1" width="3.33203125" style="4" customWidth="1"/>
    <col min="2" max="2" width="1.33203125" style="4" customWidth="1"/>
    <col min="3" max="3" width="16.109375" style="4" customWidth="1"/>
    <col min="4" max="4" width="24.5546875" style="4" customWidth="1"/>
    <col min="5" max="7" width="9.6640625" style="4" customWidth="1"/>
    <col min="8" max="8" width="6.88671875" style="4" customWidth="1"/>
    <col min="9" max="9" width="1.33203125" style="4" customWidth="1"/>
    <col min="10" max="10" width="9.109375" style="4" customWidth="1"/>
    <col min="11" max="16384" width="9.109375" style="4"/>
  </cols>
  <sheetData>
    <row r="1" spans="1:10" x14ac:dyDescent="0.25">
      <c r="A1" s="56"/>
      <c r="B1" s="57"/>
      <c r="C1" s="57"/>
      <c r="D1" s="57"/>
      <c r="E1" s="57"/>
      <c r="F1" s="57"/>
      <c r="G1" s="57"/>
      <c r="H1" s="57"/>
      <c r="I1" s="57"/>
      <c r="J1" s="56"/>
    </row>
    <row r="2" spans="1:10" ht="30.75" customHeight="1" x14ac:dyDescent="0.25">
      <c r="A2" s="56"/>
      <c r="B2" s="43"/>
      <c r="C2" s="42" t="s">
        <v>54</v>
      </c>
      <c r="D2" s="43"/>
      <c r="E2" s="43"/>
      <c r="F2" s="43"/>
      <c r="G2" s="43"/>
      <c r="H2" s="43"/>
      <c r="I2" s="43"/>
      <c r="J2" s="56"/>
    </row>
    <row r="3" spans="1:10" ht="15" x14ac:dyDescent="0.25">
      <c r="A3" s="56"/>
      <c r="B3" s="43"/>
      <c r="C3" s="44"/>
      <c r="D3" s="44"/>
      <c r="E3" s="44"/>
      <c r="F3" s="44"/>
      <c r="G3" s="44"/>
      <c r="H3" s="44"/>
      <c r="I3" s="43"/>
      <c r="J3" s="56"/>
    </row>
    <row r="4" spans="1:10" ht="15" x14ac:dyDescent="0.25">
      <c r="A4" s="56"/>
      <c r="B4" s="43"/>
      <c r="C4" s="1" t="s">
        <v>1</v>
      </c>
      <c r="D4" s="58">
        <f ca="1">TODAY()</f>
        <v>43795</v>
      </c>
      <c r="E4" s="44"/>
      <c r="F4" s="44"/>
      <c r="G4" s="44"/>
      <c r="H4" s="44"/>
      <c r="I4" s="43"/>
      <c r="J4" s="56"/>
    </row>
    <row r="5" spans="1:10" ht="15" x14ac:dyDescent="0.25">
      <c r="A5" s="56"/>
      <c r="B5" s="43"/>
      <c r="C5" s="1"/>
      <c r="D5" s="44"/>
      <c r="E5" s="44"/>
      <c r="F5" s="44"/>
      <c r="G5" s="44"/>
      <c r="H5" s="44"/>
      <c r="I5" s="43"/>
      <c r="J5" s="56"/>
    </row>
    <row r="6" spans="1:10" ht="21.75" customHeight="1" x14ac:dyDescent="0.25">
      <c r="A6" s="56"/>
      <c r="B6" s="43"/>
      <c r="C6" s="1" t="s">
        <v>24</v>
      </c>
      <c r="D6" s="36" t="s">
        <v>76</v>
      </c>
      <c r="E6" s="44"/>
      <c r="F6" s="44"/>
      <c r="G6" s="44"/>
      <c r="H6" s="44"/>
      <c r="I6" s="43"/>
      <c r="J6" s="56"/>
    </row>
    <row r="7" spans="1:10" ht="15" x14ac:dyDescent="0.25">
      <c r="A7" s="56"/>
      <c r="B7" s="43"/>
      <c r="C7" s="1"/>
      <c r="D7" s="44"/>
      <c r="E7" s="44"/>
      <c r="F7" s="44"/>
      <c r="G7" s="44"/>
      <c r="H7" s="44"/>
      <c r="I7" s="43"/>
      <c r="J7" s="56"/>
    </row>
    <row r="8" spans="1:10" ht="15" x14ac:dyDescent="0.25">
      <c r="A8" s="56"/>
      <c r="B8" s="43"/>
      <c r="C8" s="2" t="s">
        <v>55</v>
      </c>
      <c r="D8" s="36" t="s">
        <v>77</v>
      </c>
      <c r="E8" s="45"/>
      <c r="F8" s="45"/>
      <c r="G8" s="45"/>
      <c r="H8" s="44"/>
      <c r="I8" s="43"/>
      <c r="J8" s="56"/>
    </row>
    <row r="9" spans="1:10" ht="15" x14ac:dyDescent="0.25">
      <c r="A9" s="56"/>
      <c r="B9" s="43"/>
      <c r="C9" s="2"/>
      <c r="D9" s="44"/>
      <c r="E9" s="44"/>
      <c r="F9" s="44"/>
      <c r="G9" s="44"/>
      <c r="H9" s="44"/>
      <c r="I9" s="43"/>
      <c r="J9" s="56"/>
    </row>
    <row r="10" spans="1:10" ht="15" x14ac:dyDescent="0.25">
      <c r="A10" s="56"/>
      <c r="B10" s="43"/>
      <c r="C10" s="46" t="s">
        <v>56</v>
      </c>
      <c r="D10" s="35">
        <v>3040506070</v>
      </c>
      <c r="E10" s="44"/>
      <c r="F10" s="51">
        <f>COUNTIF(beszallitok!B4:B50,D6)</f>
        <v>0</v>
      </c>
      <c r="G10" s="44"/>
      <c r="H10" s="44"/>
      <c r="I10" s="43"/>
      <c r="J10" s="56"/>
    </row>
    <row r="11" spans="1:10" ht="15" x14ac:dyDescent="0.25">
      <c r="A11" s="56"/>
      <c r="B11" s="43"/>
      <c r="C11" s="46"/>
      <c r="D11" s="44"/>
      <c r="E11" s="44"/>
      <c r="F11" s="44"/>
      <c r="G11" s="44"/>
      <c r="H11" s="44"/>
      <c r="I11" s="43"/>
      <c r="J11" s="56"/>
    </row>
    <row r="12" spans="1:10" x14ac:dyDescent="0.25">
      <c r="A12" s="56"/>
      <c r="B12" s="43"/>
      <c r="C12" s="49"/>
      <c r="D12" s="50"/>
      <c r="E12" s="50"/>
      <c r="F12" s="50"/>
      <c r="G12" s="50"/>
      <c r="H12" s="50"/>
      <c r="I12" s="43"/>
      <c r="J12" s="56"/>
    </row>
    <row r="13" spans="1:10" x14ac:dyDescent="0.25">
      <c r="A13" s="56"/>
      <c r="B13" s="43"/>
      <c r="C13" s="49"/>
      <c r="D13" s="50"/>
      <c r="E13" s="50"/>
      <c r="F13" s="50"/>
      <c r="G13" s="50"/>
      <c r="H13" s="50"/>
      <c r="I13" s="43"/>
      <c r="J13" s="56"/>
    </row>
    <row r="14" spans="1:10" x14ac:dyDescent="0.25">
      <c r="A14" s="56"/>
      <c r="B14" s="43"/>
      <c r="C14" s="50"/>
      <c r="D14" s="50"/>
      <c r="E14" s="50"/>
      <c r="F14" s="50"/>
      <c r="G14" s="50"/>
      <c r="H14" s="50"/>
      <c r="I14" s="43"/>
      <c r="J14" s="56"/>
    </row>
    <row r="15" spans="1:10" ht="6" customHeight="1" x14ac:dyDescent="0.25">
      <c r="A15" s="56"/>
      <c r="B15" s="43"/>
      <c r="C15" s="43"/>
      <c r="D15" s="43"/>
      <c r="E15" s="43"/>
      <c r="F15" s="43"/>
      <c r="G15" s="43"/>
      <c r="H15" s="43"/>
      <c r="I15" s="43"/>
      <c r="J15" s="56"/>
    </row>
    <row r="16" spans="1:10" x14ac:dyDescent="0.25">
      <c r="A16" s="56"/>
      <c r="B16" s="56"/>
      <c r="C16" s="56"/>
      <c r="D16" s="56"/>
      <c r="E16" s="56"/>
      <c r="F16" s="56"/>
      <c r="G16" s="56"/>
      <c r="H16" s="56"/>
      <c r="I16" s="56"/>
      <c r="J16" s="56"/>
    </row>
    <row r="17" spans="1:10" x14ac:dyDescent="0.25">
      <c r="A17" s="56"/>
      <c r="B17" s="56"/>
      <c r="C17" s="56"/>
      <c r="D17" s="56"/>
      <c r="E17" s="56"/>
      <c r="F17" s="56"/>
      <c r="G17" s="56"/>
      <c r="H17" s="56"/>
      <c r="I17" s="56"/>
      <c r="J17" s="56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ujbeszallito">
                <anchor moveWithCells="1" sizeWithCells="1">
                  <from>
                    <xdr:col>3</xdr:col>
                    <xdr:colOff>0</xdr:colOff>
                    <xdr:row>11</xdr:row>
                    <xdr:rowOff>15240</xdr:rowOff>
                  </from>
                  <to>
                    <xdr:col>7</xdr:col>
                    <xdr:colOff>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lapvaltas_beszerzes">
                <anchor moveWithCells="1" sizeWithCells="1">
                  <from>
                    <xdr:col>5</xdr:col>
                    <xdr:colOff>38100</xdr:colOff>
                    <xdr:row>2</xdr:row>
                    <xdr:rowOff>129540</xdr:rowOff>
                  </from>
                  <to>
                    <xdr:col>7</xdr:col>
                    <xdr:colOff>213360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6" name="Button 5">
              <controlPr defaultSize="0" print="0" autoFill="0" autoPict="0" macro="[0]!lapvaltas_eladas">
                <anchor moveWithCells="1" sizeWithCells="1">
                  <from>
                    <xdr:col>5</xdr:col>
                    <xdr:colOff>38100</xdr:colOff>
                    <xdr:row>1</xdr:row>
                    <xdr:rowOff>68580</xdr:rowOff>
                  </from>
                  <to>
                    <xdr:col>7</xdr:col>
                    <xdr:colOff>220980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7" name="Button 6">
              <controlPr defaultSize="0" print="0" autoFill="0" autoPict="0" macro="[0]!lapvaltas_ujtermek">
                <anchor moveWithCells="1" sizeWithCells="1">
                  <from>
                    <xdr:col>5</xdr:col>
                    <xdr:colOff>30480</xdr:colOff>
                    <xdr:row>4</xdr:row>
                    <xdr:rowOff>60960</xdr:rowOff>
                  </from>
                  <to>
                    <xdr:col>7</xdr:col>
                    <xdr:colOff>220980</xdr:colOff>
                    <xdr:row>5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Munka5"/>
  <dimension ref="A1:D5"/>
  <sheetViews>
    <sheetView workbookViewId="0">
      <selection activeCell="A6" sqref="A6"/>
    </sheetView>
  </sheetViews>
  <sheetFormatPr defaultColWidth="9.109375" defaultRowHeight="13.2" x14ac:dyDescent="0.25"/>
  <cols>
    <col min="1" max="1" width="9.109375" style="26"/>
    <col min="2" max="2" width="14.88671875" style="26" customWidth="1"/>
    <col min="3" max="3" width="35.109375" style="26" customWidth="1"/>
    <col min="4" max="4" width="11.88671875" style="26" customWidth="1"/>
    <col min="5" max="16384" width="9.109375" style="26"/>
  </cols>
  <sheetData>
    <row r="1" spans="1:4" x14ac:dyDescent="0.25">
      <c r="A1" s="26" t="str">
        <f>TEXT(COUNTA(B3:B1000)+3,"#####")</f>
        <v>6</v>
      </c>
    </row>
    <row r="2" spans="1:4" ht="21.75" customHeight="1" x14ac:dyDescent="0.35">
      <c r="A2" s="28" t="s">
        <v>10</v>
      </c>
      <c r="B2" s="30"/>
      <c r="C2" s="30"/>
      <c r="D2" s="29"/>
    </row>
    <row r="3" spans="1:4" x14ac:dyDescent="0.25">
      <c r="A3" s="26" t="s">
        <v>11</v>
      </c>
      <c r="B3" s="26" t="s">
        <v>12</v>
      </c>
      <c r="C3" s="26" t="s">
        <v>13</v>
      </c>
      <c r="D3" s="26" t="s">
        <v>42</v>
      </c>
    </row>
    <row r="4" spans="1:4" x14ac:dyDescent="0.25">
      <c r="A4" s="26">
        <v>1</v>
      </c>
      <c r="B4" s="26" t="s">
        <v>41</v>
      </c>
      <c r="C4" s="26" t="s">
        <v>48</v>
      </c>
      <c r="D4" s="26" t="s">
        <v>49</v>
      </c>
    </row>
    <row r="5" spans="1:4" x14ac:dyDescent="0.25">
      <c r="A5" s="26">
        <v>2</v>
      </c>
      <c r="B5" s="26" t="s">
        <v>73</v>
      </c>
      <c r="C5" s="26" t="s">
        <v>74</v>
      </c>
      <c r="D5" s="26">
        <v>3612345678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Munka8"/>
  <dimension ref="A1:K12"/>
  <sheetViews>
    <sheetView workbookViewId="0">
      <selection activeCell="K2" sqref="K2"/>
    </sheetView>
  </sheetViews>
  <sheetFormatPr defaultColWidth="9.109375" defaultRowHeight="13.2" x14ac:dyDescent="0.25"/>
  <cols>
    <col min="1" max="1" width="15.6640625" style="32" customWidth="1"/>
    <col min="2" max="2" width="19.33203125" style="26" customWidth="1"/>
    <col min="3" max="7" width="9.109375" style="26"/>
    <col min="8" max="8" width="9.109375" style="27"/>
    <col min="9" max="10" width="13.6640625" style="26" customWidth="1"/>
    <col min="11" max="16384" width="9.109375" style="26"/>
  </cols>
  <sheetData>
    <row r="1" spans="1:11" x14ac:dyDescent="0.25">
      <c r="A1" s="32" t="str">
        <f>TEXT(COUNTA(A3:A9998)+3,"#####")</f>
        <v>13</v>
      </c>
      <c r="C1" s="26">
        <v>0</v>
      </c>
      <c r="D1" s="26">
        <v>0</v>
      </c>
      <c r="E1" s="26">
        <v>0</v>
      </c>
      <c r="F1" s="26">
        <f>SUMIF(beszerzesek!B$4:B$10000,A1,beszerzesek!C$4:C$10000)</f>
        <v>0</v>
      </c>
      <c r="G1" s="26">
        <f>SUMIF(eladasok!B$4:B$10000,A1,eladasok!C$4:C$10000)</f>
        <v>0</v>
      </c>
      <c r="H1" s="27">
        <f t="shared" ref="H1" si="0">F1-G1</f>
        <v>0</v>
      </c>
      <c r="I1" s="26">
        <f>SUMIF(beszerzesek!B$4:B$10000,A1,beszerzesek!E$4:E$10000)</f>
        <v>0</v>
      </c>
      <c r="J1" s="26">
        <f>SUMIF(eladasok!B$4:B$10000,A1,eladasok!E$4:E$10000)</f>
        <v>0</v>
      </c>
      <c r="K1" s="26">
        <f t="shared" ref="K1" si="1">J1-I1</f>
        <v>0</v>
      </c>
    </row>
    <row r="2" spans="1:11" ht="21.75" customHeight="1" x14ac:dyDescent="0.35">
      <c r="A2" s="59" t="s">
        <v>14</v>
      </c>
      <c r="B2" s="29"/>
      <c r="C2" s="29"/>
      <c r="D2" s="29"/>
      <c r="E2" s="29"/>
      <c r="F2" s="29"/>
      <c r="G2" s="29"/>
      <c r="H2" s="30"/>
      <c r="I2" s="29"/>
      <c r="J2" s="29"/>
      <c r="K2" s="29">
        <f>SUM(K4:K998)</f>
        <v>5986</v>
      </c>
    </row>
    <row r="3" spans="1:11" x14ac:dyDescent="0.25">
      <c r="A3" s="32" t="s">
        <v>15</v>
      </c>
      <c r="B3" s="26" t="s">
        <v>16</v>
      </c>
      <c r="C3" s="26" t="s">
        <v>21</v>
      </c>
      <c r="D3" s="26" t="s">
        <v>27</v>
      </c>
      <c r="E3" s="26" t="s">
        <v>28</v>
      </c>
      <c r="F3" s="26" t="s">
        <v>29</v>
      </c>
      <c r="G3" s="26" t="s">
        <v>30</v>
      </c>
      <c r="H3" s="27" t="s">
        <v>31</v>
      </c>
      <c r="I3" s="26" t="s">
        <v>32</v>
      </c>
      <c r="J3" s="26" t="s">
        <v>33</v>
      </c>
      <c r="K3" s="39" t="s">
        <v>47</v>
      </c>
    </row>
    <row r="4" spans="1:11" x14ac:dyDescent="0.25">
      <c r="A4" s="20">
        <v>0</v>
      </c>
      <c r="B4" s="21" t="s">
        <v>44</v>
      </c>
      <c r="C4" s="26">
        <v>1</v>
      </c>
      <c r="D4" s="26">
        <v>0</v>
      </c>
      <c r="E4" s="26">
        <v>0</v>
      </c>
      <c r="F4" s="26">
        <f>SUMIF(beszerzesek!B$4:B$10000,A4,beszerzesek!C$4:C$10000)</f>
        <v>0</v>
      </c>
      <c r="G4" s="26">
        <f>SUMIF(eladasok!B$4:B$10000,A4,eladasok!C$4:C$10000)</f>
        <v>0</v>
      </c>
      <c r="H4" s="27">
        <f t="shared" ref="H4:H12" si="2">F4-G4</f>
        <v>0</v>
      </c>
      <c r="I4" s="26">
        <f>SUMIF(beszerzesek!B$4:B$10000,A4,beszerzesek!E$4:E$10000)</f>
        <v>0</v>
      </c>
      <c r="J4" s="26">
        <f>SUMIF(eladasok!B$4:B$10000,A4,eladasok!E$4:E$10000)</f>
        <v>0</v>
      </c>
      <c r="K4" s="26">
        <f t="shared" ref="K4:K12" si="3">J4-I4</f>
        <v>0</v>
      </c>
    </row>
    <row r="5" spans="1:11" x14ac:dyDescent="0.25">
      <c r="A5" s="32">
        <v>1</v>
      </c>
      <c r="B5" s="26" t="s">
        <v>53</v>
      </c>
      <c r="C5" s="26">
        <v>2</v>
      </c>
      <c r="D5" s="26">
        <v>15</v>
      </c>
      <c r="E5" s="26">
        <v>25</v>
      </c>
      <c r="F5" s="26">
        <f>SUMIF(beszerzesek!B$4:B$10000,A5,beszerzesek!C$4:C$10000)</f>
        <v>1</v>
      </c>
      <c r="G5" s="26">
        <f>SUMIF(eladasok!B$4:B$10000,A5,eladasok!C$4:C$10000)</f>
        <v>1</v>
      </c>
      <c r="H5" s="27">
        <f t="shared" si="2"/>
        <v>0</v>
      </c>
      <c r="I5" s="26">
        <f>SUMIF(beszerzesek!B$4:B$10000,A5,beszerzesek!E$4:E$10000)</f>
        <v>10</v>
      </c>
      <c r="J5" s="26">
        <f>SUMIF(eladasok!B$4:B$10000,A5,eladasok!E$4:E$10000)</f>
        <v>20</v>
      </c>
      <c r="K5" s="26">
        <f t="shared" si="3"/>
        <v>10</v>
      </c>
    </row>
    <row r="6" spans="1:11" x14ac:dyDescent="0.25">
      <c r="A6" s="32">
        <v>2</v>
      </c>
      <c r="B6" s="26" t="s">
        <v>75</v>
      </c>
      <c r="C6" s="26">
        <v>1</v>
      </c>
      <c r="D6" s="26">
        <v>30</v>
      </c>
      <c r="E6" s="26">
        <v>50</v>
      </c>
      <c r="F6" s="26">
        <f>SUMIF(beszerzesek!B$4:B$10000,A6,beszerzesek!C$4:C$10000)</f>
        <v>0</v>
      </c>
      <c r="G6" s="26">
        <f>SUMIF(eladasok!B$4:B$10000,A6,eladasok!C$4:C$10000)</f>
        <v>0</v>
      </c>
      <c r="H6" s="27">
        <f t="shared" si="2"/>
        <v>0</v>
      </c>
      <c r="I6" s="26">
        <f>SUMIF(beszerzesek!B$4:B$10000,A6,beszerzesek!E$4:E$10000)</f>
        <v>0</v>
      </c>
      <c r="J6" s="26">
        <f>SUMIF(eladasok!B$4:B$10000,A6,eladasok!E$4:E$10000)</f>
        <v>0</v>
      </c>
      <c r="K6" s="26">
        <f t="shared" si="3"/>
        <v>0</v>
      </c>
    </row>
    <row r="7" spans="1:11" x14ac:dyDescent="0.25">
      <c r="A7" s="20">
        <v>829160798783</v>
      </c>
      <c r="B7" s="21" t="s">
        <v>36</v>
      </c>
      <c r="C7" s="26">
        <v>1</v>
      </c>
      <c r="D7" s="26">
        <v>1800</v>
      </c>
      <c r="E7" s="26">
        <v>2100</v>
      </c>
      <c r="F7" s="26">
        <f>SUMIF(beszerzesek!B$4:B$10000,A7,beszerzesek!C$4:C$10000)</f>
        <v>0</v>
      </c>
      <c r="G7" s="26">
        <f>SUMIF(eladasok!B$4:B$10000,A7,eladasok!C$4:C$10000)</f>
        <v>0</v>
      </c>
      <c r="H7" s="27">
        <f t="shared" si="2"/>
        <v>0</v>
      </c>
      <c r="I7" s="26">
        <f>SUMIF(beszerzesek!B$4:B$10000,A7,beszerzesek!E$4:E$10000)</f>
        <v>0</v>
      </c>
      <c r="J7" s="26">
        <f>SUMIF(eladasok!B$4:B$10000,A7,eladasok!E$4:E$10000)</f>
        <v>0</v>
      </c>
      <c r="K7" s="26">
        <f t="shared" si="3"/>
        <v>0</v>
      </c>
    </row>
    <row r="8" spans="1:11" x14ac:dyDescent="0.25">
      <c r="A8" s="22">
        <v>882224086967</v>
      </c>
      <c r="B8" s="23" t="s">
        <v>37</v>
      </c>
      <c r="C8" s="26">
        <v>2</v>
      </c>
      <c r="D8" s="26">
        <v>28000</v>
      </c>
      <c r="E8" s="26">
        <v>34000</v>
      </c>
      <c r="F8" s="26">
        <f>SUMIF(beszerzesek!B$4:B$10000,A8,beszerzesek!C$4:C$10000)</f>
        <v>0</v>
      </c>
      <c r="G8" s="26">
        <f>SUMIF(eladasok!B$4:B$10000,A8,eladasok!C$4:C$10000)</f>
        <v>0</v>
      </c>
      <c r="H8" s="27">
        <f t="shared" si="2"/>
        <v>0</v>
      </c>
      <c r="I8" s="26">
        <f>SUMIF(beszerzesek!B$4:B$10000,A8,beszerzesek!E$4:E$10000)</f>
        <v>0</v>
      </c>
      <c r="J8" s="26">
        <f>SUMIF(eladasok!B$4:B$10000,A8,eladasok!E$4:E$10000)</f>
        <v>0</v>
      </c>
      <c r="K8" s="26">
        <f t="shared" si="3"/>
        <v>0</v>
      </c>
    </row>
    <row r="9" spans="1:11" x14ac:dyDescent="0.25">
      <c r="A9" s="24">
        <v>4716123300977</v>
      </c>
      <c r="B9" s="25" t="s">
        <v>38</v>
      </c>
      <c r="C9" s="26">
        <v>2</v>
      </c>
      <c r="D9" s="26">
        <v>400</v>
      </c>
      <c r="E9" s="26">
        <v>600</v>
      </c>
      <c r="F9" s="26">
        <f>SUMIF(beszerzesek!B$4:B$10000,A9,beszerzesek!C$4:C$10000)</f>
        <v>0</v>
      </c>
      <c r="G9" s="26">
        <f>SUMIF(eladasok!B$4:B$10000,A9,eladasok!C$4:C$10000)</f>
        <v>0</v>
      </c>
      <c r="H9" s="27">
        <f t="shared" si="2"/>
        <v>0</v>
      </c>
      <c r="I9" s="26">
        <f>SUMIF(beszerzesek!B$4:B$10000,A9,beszerzesek!E$4:E$10000)</f>
        <v>0</v>
      </c>
      <c r="J9" s="26">
        <f>SUMIF(eladasok!B$4:B$10000,A9,eladasok!E$4:E$10000)</f>
        <v>0</v>
      </c>
      <c r="K9" s="26">
        <f t="shared" si="3"/>
        <v>0</v>
      </c>
    </row>
    <row r="10" spans="1:11" x14ac:dyDescent="0.25">
      <c r="A10" s="38">
        <v>9789638623263</v>
      </c>
      <c r="B10" s="18" t="s">
        <v>35</v>
      </c>
      <c r="C10" s="26">
        <v>1</v>
      </c>
      <c r="D10" s="26">
        <v>1494</v>
      </c>
      <c r="E10" s="26">
        <v>2490</v>
      </c>
      <c r="F10" s="26">
        <f>SUMIF(beszerzesek!B$4:B$10000,A10,beszerzesek!C$4:C$10000)</f>
        <v>6</v>
      </c>
      <c r="G10" s="26">
        <f>SUMIF(eladasok!B$4:B$10000,A10,eladasok!C$4:C$10000)</f>
        <v>6</v>
      </c>
      <c r="H10" s="27">
        <f t="shared" si="2"/>
        <v>0</v>
      </c>
      <c r="I10" s="26">
        <f>SUMIF(beszerzesek!B$4:B$10000,A10,beszerzesek!E$4:E$10000)</f>
        <v>8964</v>
      </c>
      <c r="J10" s="26">
        <f>SUMIF(eladasok!B$4:B$10000,A10,eladasok!E$4:E$10000)</f>
        <v>14940</v>
      </c>
      <c r="K10" s="26">
        <f t="shared" si="3"/>
        <v>5976</v>
      </c>
    </row>
    <row r="11" spans="1:11" x14ac:dyDescent="0.25">
      <c r="A11" s="60">
        <v>9789639425323</v>
      </c>
      <c r="B11" s="19" t="s">
        <v>34</v>
      </c>
      <c r="C11" s="26">
        <v>1</v>
      </c>
      <c r="D11" s="26">
        <v>1182</v>
      </c>
      <c r="E11" s="26">
        <v>1970</v>
      </c>
      <c r="F11" s="26">
        <f>SUMIF(beszerzesek!B$4:B$10000,A11,beszerzesek!C$4:C$10000)</f>
        <v>0</v>
      </c>
      <c r="G11" s="26">
        <f>SUMIF(eladasok!B$4:B$10000,A11,eladasok!C$4:C$10000)</f>
        <v>0</v>
      </c>
      <c r="H11" s="27">
        <f t="shared" si="2"/>
        <v>0</v>
      </c>
      <c r="I11" s="26">
        <f>SUMIF(beszerzesek!B$4:B$10000,A11,beszerzesek!E$4:E$10000)</f>
        <v>0</v>
      </c>
      <c r="J11" s="26">
        <f>SUMIF(eladasok!B$4:B$10000,A11,eladasok!E$4:E$10000)</f>
        <v>0</v>
      </c>
      <c r="K11" s="26">
        <f t="shared" si="3"/>
        <v>0</v>
      </c>
    </row>
    <row r="12" spans="1:11" x14ac:dyDescent="0.25">
      <c r="A12" s="32">
        <v>9789639425408</v>
      </c>
      <c r="B12" s="26" t="s">
        <v>57</v>
      </c>
      <c r="C12" s="26">
        <v>1</v>
      </c>
      <c r="D12" s="26">
        <v>1182</v>
      </c>
      <c r="E12" s="26">
        <v>1970</v>
      </c>
      <c r="F12" s="26">
        <f>SUMIF(beszerzesek!B$4:B$10000,A12,beszerzesek!C$4:C$10000)</f>
        <v>0</v>
      </c>
      <c r="G12" s="26">
        <f>SUMIF(eladasok!B$4:B$10000,A12,eladasok!C$4:C$10000)</f>
        <v>0</v>
      </c>
      <c r="H12" s="27">
        <f t="shared" si="2"/>
        <v>0</v>
      </c>
      <c r="I12" s="26">
        <f>SUMIF(beszerzesek!B$4:B$10000,A12,beszerzesek!E$4:E$10000)</f>
        <v>0</v>
      </c>
      <c r="J12" s="26">
        <f>SUMIF(eladasok!B$4:B$10000,A12,eladasok!E$4:E$10000)</f>
        <v>0</v>
      </c>
      <c r="K12" s="26">
        <f t="shared" si="3"/>
        <v>0</v>
      </c>
    </row>
  </sheetData>
  <sortState ref="A4:K12">
    <sortCondition ref="A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lapvaltas_eladas">
                <anchor moveWithCells="1" sizeWithCells="1">
                  <from>
                    <xdr:col>5</xdr:col>
                    <xdr:colOff>434340</xdr:colOff>
                    <xdr:row>1</xdr:row>
                    <xdr:rowOff>22860</xdr:rowOff>
                  </from>
                  <to>
                    <xdr:col>7</xdr:col>
                    <xdr:colOff>457200</xdr:colOff>
                    <xdr:row>1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Munka9"/>
  <dimension ref="A1:E9"/>
  <sheetViews>
    <sheetView workbookViewId="0"/>
  </sheetViews>
  <sheetFormatPr defaultColWidth="9.109375" defaultRowHeight="13.2" x14ac:dyDescent="0.25"/>
  <cols>
    <col min="1" max="1" width="10.6640625" style="26" customWidth="1"/>
    <col min="2" max="2" width="15.6640625" style="32" customWidth="1"/>
    <col min="3" max="5" width="10.6640625" style="26" customWidth="1"/>
    <col min="6" max="16384" width="9.109375" style="26"/>
  </cols>
  <sheetData>
    <row r="1" spans="1:5" x14ac:dyDescent="0.25">
      <c r="A1" s="26" t="str">
        <f>TEXT(COUNTA(A3:A10000)+3,"#####")</f>
        <v>10</v>
      </c>
    </row>
    <row r="2" spans="1:5" ht="20.399999999999999" x14ac:dyDescent="0.35">
      <c r="A2" s="28" t="s">
        <v>40</v>
      </c>
      <c r="B2" s="33"/>
      <c r="C2" s="29"/>
      <c r="D2" s="29"/>
      <c r="E2" s="29"/>
    </row>
    <row r="3" spans="1:5" x14ac:dyDescent="0.25">
      <c r="A3" s="26" t="s">
        <v>17</v>
      </c>
      <c r="B3" s="32" t="s">
        <v>15</v>
      </c>
      <c r="C3" s="26" t="s">
        <v>18</v>
      </c>
      <c r="D3" s="26" t="s">
        <v>20</v>
      </c>
      <c r="E3" s="26" t="s">
        <v>19</v>
      </c>
    </row>
    <row r="4" spans="1:5" x14ac:dyDescent="0.25">
      <c r="A4" s="31">
        <v>40235</v>
      </c>
      <c r="B4" s="32">
        <v>9789638623263</v>
      </c>
      <c r="C4" s="26">
        <v>2</v>
      </c>
      <c r="D4" s="26">
        <v>2490</v>
      </c>
      <c r="E4" s="26">
        <v>4980</v>
      </c>
    </row>
    <row r="5" spans="1:5" x14ac:dyDescent="0.25">
      <c r="A5" s="31">
        <v>40235</v>
      </c>
      <c r="B5" s="32">
        <v>9789638623263</v>
      </c>
      <c r="C5" s="26">
        <v>1</v>
      </c>
      <c r="D5" s="26">
        <v>2490</v>
      </c>
      <c r="E5" s="26">
        <v>2490</v>
      </c>
    </row>
    <row r="6" spans="1:5" x14ac:dyDescent="0.25">
      <c r="A6" s="31">
        <v>40236</v>
      </c>
      <c r="B6" s="32">
        <v>1</v>
      </c>
      <c r="C6" s="26">
        <v>1</v>
      </c>
      <c r="D6" s="26">
        <v>20</v>
      </c>
      <c r="E6" s="26">
        <v>20</v>
      </c>
    </row>
    <row r="7" spans="1:5" x14ac:dyDescent="0.25">
      <c r="A7" s="31">
        <v>43795</v>
      </c>
      <c r="B7" s="32">
        <v>9789638623263</v>
      </c>
      <c r="C7" s="26">
        <v>1</v>
      </c>
      <c r="D7" s="26">
        <v>2490</v>
      </c>
      <c r="E7" s="26">
        <v>2490</v>
      </c>
    </row>
    <row r="8" spans="1:5" x14ac:dyDescent="0.25">
      <c r="A8" s="31">
        <v>43795</v>
      </c>
      <c r="B8" s="32">
        <v>9789638623263</v>
      </c>
      <c r="C8" s="26">
        <v>1</v>
      </c>
      <c r="D8" s="26">
        <v>2490</v>
      </c>
      <c r="E8" s="26">
        <v>2490</v>
      </c>
    </row>
    <row r="9" spans="1:5" x14ac:dyDescent="0.25">
      <c r="A9" s="31">
        <v>43795</v>
      </c>
      <c r="B9" s="32">
        <v>9789638623263</v>
      </c>
      <c r="C9" s="26">
        <v>1</v>
      </c>
      <c r="D9" s="26">
        <v>2490</v>
      </c>
      <c r="E9" s="26">
        <v>2490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Munka10"/>
  <dimension ref="A1:E7"/>
  <sheetViews>
    <sheetView workbookViewId="0"/>
  </sheetViews>
  <sheetFormatPr defaultColWidth="9.109375" defaultRowHeight="13.2" x14ac:dyDescent="0.25"/>
  <cols>
    <col min="1" max="1" width="10.6640625" style="26" customWidth="1"/>
    <col min="2" max="2" width="15.6640625" style="32" customWidth="1"/>
    <col min="3" max="5" width="10.6640625" style="26" customWidth="1"/>
    <col min="6" max="16384" width="9.109375" style="26"/>
  </cols>
  <sheetData>
    <row r="1" spans="1:5" x14ac:dyDescent="0.25">
      <c r="A1" s="26" t="str">
        <f>TEXT(COUNTA(A3:A10000)+3,"#####")</f>
        <v>7</v>
      </c>
    </row>
    <row r="2" spans="1:5" ht="20.399999999999999" x14ac:dyDescent="0.35">
      <c r="A2" s="28" t="s">
        <v>39</v>
      </c>
      <c r="B2" s="33"/>
      <c r="C2" s="29"/>
      <c r="D2" s="29"/>
      <c r="E2" s="29"/>
    </row>
    <row r="3" spans="1:5" x14ac:dyDescent="0.25">
      <c r="A3" s="26" t="s">
        <v>17</v>
      </c>
      <c r="B3" s="32" t="s">
        <v>15</v>
      </c>
      <c r="C3" s="26" t="s">
        <v>18</v>
      </c>
      <c r="D3" s="26" t="s">
        <v>20</v>
      </c>
      <c r="E3" s="26" t="s">
        <v>19</v>
      </c>
    </row>
    <row r="4" spans="1:5" x14ac:dyDescent="0.25">
      <c r="A4" s="31">
        <v>40210</v>
      </c>
      <c r="B4" s="38">
        <v>9789638623263</v>
      </c>
      <c r="C4" s="26">
        <v>1</v>
      </c>
      <c r="D4" s="26">
        <v>1494</v>
      </c>
      <c r="E4" s="26">
        <v>1494</v>
      </c>
    </row>
    <row r="5" spans="1:5" x14ac:dyDescent="0.25">
      <c r="A5" s="31">
        <v>40235</v>
      </c>
      <c r="B5" s="32">
        <v>9789638623263</v>
      </c>
      <c r="C5" s="26">
        <v>5</v>
      </c>
      <c r="D5" s="26">
        <v>1494</v>
      </c>
      <c r="E5" s="26">
        <v>7470</v>
      </c>
    </row>
    <row r="6" spans="1:5" x14ac:dyDescent="0.25">
      <c r="A6" s="31">
        <v>40238</v>
      </c>
      <c r="B6" s="32">
        <v>1</v>
      </c>
      <c r="C6" s="26">
        <v>1</v>
      </c>
      <c r="D6" s="26">
        <v>10</v>
      </c>
      <c r="E6" s="26">
        <v>10</v>
      </c>
    </row>
    <row r="7" spans="1:5" x14ac:dyDescent="0.25">
      <c r="A7" s="3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Munka12"/>
  <dimension ref="B1:L23"/>
  <sheetViews>
    <sheetView workbookViewId="0">
      <selection activeCell="D4" sqref="D4"/>
    </sheetView>
  </sheetViews>
  <sheetFormatPr defaultColWidth="9.109375" defaultRowHeight="13.8" x14ac:dyDescent="0.25"/>
  <cols>
    <col min="1" max="1" width="3" style="4" customWidth="1"/>
    <col min="2" max="2" width="1.33203125" style="4" customWidth="1"/>
    <col min="3" max="3" width="33.33203125" style="62" customWidth="1"/>
    <col min="4" max="4" width="30.88671875" style="4" customWidth="1"/>
    <col min="5" max="5" width="4" style="4" customWidth="1"/>
    <col min="6" max="6" width="14.6640625" style="62" customWidth="1"/>
    <col min="7" max="7" width="9.109375" style="4"/>
    <col min="8" max="8" width="5.5546875" style="4" customWidth="1"/>
    <col min="9" max="9" width="1.33203125" style="4" customWidth="1"/>
    <col min="10" max="10" width="3.6640625" style="4" customWidth="1"/>
    <col min="11" max="12" width="11.44140625" style="4" customWidth="1"/>
    <col min="13" max="16384" width="9.109375" style="4"/>
  </cols>
  <sheetData>
    <row r="1" spans="2:12" x14ac:dyDescent="0.25">
      <c r="B1" s="3"/>
      <c r="C1" s="65"/>
      <c r="D1" s="3"/>
      <c r="E1" s="3"/>
    </row>
    <row r="2" spans="2:12" ht="27.75" customHeight="1" x14ac:dyDescent="0.25">
      <c r="B2" s="5"/>
      <c r="C2" s="10" t="s">
        <v>58</v>
      </c>
      <c r="D2" s="5"/>
      <c r="E2" s="5"/>
      <c r="F2" s="66"/>
      <c r="G2" s="5"/>
      <c r="H2" s="5"/>
      <c r="I2" s="5"/>
      <c r="K2" s="4" t="s">
        <v>71</v>
      </c>
      <c r="L2" s="4" t="s">
        <v>71</v>
      </c>
    </row>
    <row r="3" spans="2:12" x14ac:dyDescent="0.25">
      <c r="B3" s="5"/>
      <c r="C3" s="7"/>
      <c r="D3" s="6"/>
      <c r="E3" s="6"/>
      <c r="F3" s="64"/>
      <c r="G3" s="63"/>
      <c r="H3" s="63"/>
      <c r="I3" s="5"/>
      <c r="K3" s="4" t="str">
        <f>"&gt;="&amp;D4</f>
        <v>&gt;=40179</v>
      </c>
      <c r="L3" s="4" t="str">
        <f>"&lt;="&amp;D5</f>
        <v>&lt;=40237</v>
      </c>
    </row>
    <row r="4" spans="2:12" x14ac:dyDescent="0.25">
      <c r="B4" s="5"/>
      <c r="C4" s="61" t="s">
        <v>59</v>
      </c>
      <c r="D4" s="69">
        <v>40179</v>
      </c>
      <c r="E4" s="64"/>
      <c r="F4" s="64"/>
      <c r="G4" s="63"/>
      <c r="H4" s="63"/>
      <c r="I4" s="5"/>
    </row>
    <row r="5" spans="2:12" x14ac:dyDescent="0.25">
      <c r="B5" s="5"/>
      <c r="C5" s="61" t="s">
        <v>60</v>
      </c>
      <c r="D5" s="69">
        <v>40237</v>
      </c>
      <c r="E5" s="64"/>
      <c r="F5" s="64"/>
      <c r="G5" s="63"/>
      <c r="H5" s="63"/>
      <c r="I5" s="5"/>
    </row>
    <row r="6" spans="2:12" x14ac:dyDescent="0.25">
      <c r="B6" s="5"/>
      <c r="C6" s="64"/>
      <c r="D6" s="63"/>
      <c r="E6" s="64"/>
      <c r="F6" s="64"/>
      <c r="G6" s="63"/>
      <c r="H6" s="63"/>
      <c r="I6" s="5"/>
    </row>
    <row r="7" spans="2:12" x14ac:dyDescent="0.25">
      <c r="B7" s="5"/>
      <c r="C7" s="64" t="s">
        <v>61</v>
      </c>
      <c r="D7" s="67">
        <f>DSUM(eladasok!A3:E10000,eladasok!E3,K2:L3)</f>
        <v>7490</v>
      </c>
      <c r="E7" s="70" t="s">
        <v>7</v>
      </c>
      <c r="F7" s="70"/>
      <c r="G7" s="63"/>
      <c r="H7" s="63"/>
      <c r="I7" s="5"/>
    </row>
    <row r="8" spans="2:12" x14ac:dyDescent="0.25">
      <c r="B8" s="5"/>
      <c r="C8" s="64" t="s">
        <v>62</v>
      </c>
      <c r="D8" s="67">
        <f>DSUM(beszerzesek!A3:E10000,beszerzesek!E3,K2:L3)</f>
        <v>8964</v>
      </c>
      <c r="E8" s="70" t="s">
        <v>7</v>
      </c>
      <c r="F8" s="70"/>
      <c r="G8" s="63"/>
      <c r="H8" s="63"/>
      <c r="I8" s="5"/>
    </row>
    <row r="9" spans="2:12" x14ac:dyDescent="0.25">
      <c r="B9" s="5"/>
      <c r="C9" s="64" t="s">
        <v>72</v>
      </c>
      <c r="D9" s="67">
        <f>D7-D8</f>
        <v>-1474</v>
      </c>
      <c r="E9" s="70" t="s">
        <v>7</v>
      </c>
      <c r="F9" s="70"/>
      <c r="G9" s="63"/>
      <c r="H9" s="63"/>
      <c r="I9" s="5"/>
    </row>
    <row r="10" spans="2:12" x14ac:dyDescent="0.25">
      <c r="B10" s="5"/>
      <c r="C10" s="64"/>
      <c r="D10" s="63"/>
      <c r="E10" s="63"/>
      <c r="F10" s="64"/>
      <c r="G10" s="63"/>
      <c r="H10" s="63"/>
      <c r="I10" s="5"/>
    </row>
    <row r="11" spans="2:12" ht="5.25" customHeight="1" x14ac:dyDescent="0.25">
      <c r="B11" s="5"/>
      <c r="C11" s="66"/>
      <c r="D11" s="5"/>
      <c r="E11" s="5"/>
      <c r="F11" s="66"/>
      <c r="G11" s="5"/>
      <c r="H11" s="5"/>
      <c r="I11" s="5"/>
    </row>
    <row r="12" spans="2:12" x14ac:dyDescent="0.25">
      <c r="B12" s="5"/>
      <c r="C12" s="64"/>
      <c r="D12" s="63"/>
      <c r="E12" s="63"/>
      <c r="F12" s="64"/>
      <c r="G12" s="63"/>
      <c r="H12" s="63"/>
      <c r="I12" s="5"/>
    </row>
    <row r="13" spans="2:12" x14ac:dyDescent="0.25">
      <c r="B13" s="5"/>
      <c r="C13" s="64" t="s">
        <v>3</v>
      </c>
      <c r="D13" s="68">
        <v>1</v>
      </c>
      <c r="E13" s="63"/>
      <c r="F13" s="64"/>
      <c r="G13" s="63"/>
      <c r="H13" s="63"/>
      <c r="I13" s="5"/>
      <c r="K13" s="4" t="s">
        <v>15</v>
      </c>
    </row>
    <row r="14" spans="2:12" x14ac:dyDescent="0.25">
      <c r="B14" s="5"/>
      <c r="C14" s="64"/>
      <c r="D14" s="63"/>
      <c r="E14" s="63"/>
      <c r="F14" s="64"/>
      <c r="G14" s="63"/>
      <c r="H14" s="63"/>
      <c r="I14" s="5"/>
      <c r="K14" s="4" t="str">
        <f>"="&amp;D13</f>
        <v>=1</v>
      </c>
    </row>
    <row r="15" spans="2:12" x14ac:dyDescent="0.25">
      <c r="B15" s="5"/>
      <c r="C15" s="64" t="s">
        <v>5</v>
      </c>
      <c r="D15" s="67" t="str">
        <f>VLOOKUP($D$13,termekek!$A$4:$K$1000,2)</f>
        <v>Tengeri herkentyű</v>
      </c>
      <c r="E15" s="63"/>
      <c r="F15" s="64" t="s">
        <v>69</v>
      </c>
      <c r="G15" s="67">
        <f>VLOOKUP($D$13,termekek!$A$4:$K$1000,6)</f>
        <v>1</v>
      </c>
      <c r="H15" s="63" t="s">
        <v>9</v>
      </c>
      <c r="I15" s="5"/>
    </row>
    <row r="16" spans="2:12" x14ac:dyDescent="0.25">
      <c r="B16" s="5"/>
      <c r="C16" s="64" t="s">
        <v>63</v>
      </c>
      <c r="D16" s="67">
        <f>DSUM(beszerzesek!A3:E10000,beszerzesek!E3,K13:K14)</f>
        <v>10</v>
      </c>
      <c r="E16" s="70" t="s">
        <v>7</v>
      </c>
      <c r="F16" s="64" t="s">
        <v>70</v>
      </c>
      <c r="G16" s="67">
        <f>VLOOKUP($D$13,termekek!$A$4:$K$1000,7)</f>
        <v>1</v>
      </c>
      <c r="H16" s="63" t="s">
        <v>9</v>
      </c>
      <c r="I16" s="5"/>
    </row>
    <row r="17" spans="2:9" x14ac:dyDescent="0.25">
      <c r="B17" s="5"/>
      <c r="C17" s="64" t="s">
        <v>64</v>
      </c>
      <c r="D17" s="67">
        <f>DSUM(eladasok!A3:E10000,eladasok!E3,K13:K14)</f>
        <v>20</v>
      </c>
      <c r="E17" s="70" t="s">
        <v>7</v>
      </c>
      <c r="F17" s="64" t="s">
        <v>8</v>
      </c>
      <c r="G17" s="67">
        <f>VLOOKUP($D$13,termekek!$A$4:$K$1000,8)</f>
        <v>0</v>
      </c>
      <c r="H17" s="63" t="s">
        <v>9</v>
      </c>
      <c r="I17" s="5"/>
    </row>
    <row r="18" spans="2:9" x14ac:dyDescent="0.25">
      <c r="B18" s="5"/>
      <c r="C18" s="64" t="s">
        <v>65</v>
      </c>
      <c r="D18" s="67">
        <f>D17-D16</f>
        <v>10</v>
      </c>
      <c r="E18" s="70" t="s">
        <v>7</v>
      </c>
      <c r="F18" s="64"/>
      <c r="G18" s="63"/>
      <c r="H18" s="63"/>
      <c r="I18" s="5"/>
    </row>
    <row r="19" spans="2:9" x14ac:dyDescent="0.25">
      <c r="B19" s="5"/>
      <c r="C19" s="64" t="s">
        <v>66</v>
      </c>
      <c r="D19" s="67" t="str">
        <f>VLOOKUP(VLOOKUP($D$13,termekek!$A$4:$K$1000,3),beszallitok!$A$4:$D$50,2)</f>
        <v>Zabhegyező Kft.</v>
      </c>
      <c r="E19" s="63"/>
      <c r="F19" s="64" t="s">
        <v>23</v>
      </c>
      <c r="G19" s="67">
        <f>VLOOKUP($D$13,termekek!$A$4:$K$1000,4)</f>
        <v>15</v>
      </c>
      <c r="H19" s="63" t="s">
        <v>7</v>
      </c>
      <c r="I19" s="5"/>
    </row>
    <row r="20" spans="2:9" x14ac:dyDescent="0.25">
      <c r="B20" s="5"/>
      <c r="C20" s="64" t="s">
        <v>67</v>
      </c>
      <c r="D20" s="67" t="str">
        <f>VLOOKUP(VLOOKUP($D$13,termekek!$A$4:$K$1000,3),beszallitok!$A$4:$D$50,3)</f>
        <v>1234 Budapest, Ló u. 99.</v>
      </c>
      <c r="E20" s="63"/>
      <c r="F20" s="64" t="s">
        <v>26</v>
      </c>
      <c r="G20" s="67">
        <f>VLOOKUP($D$13,termekek!$A$4:$K$1000,5)</f>
        <v>25</v>
      </c>
      <c r="H20" s="63" t="s">
        <v>7</v>
      </c>
      <c r="I20" s="5"/>
    </row>
    <row r="21" spans="2:9" x14ac:dyDescent="0.25">
      <c r="B21" s="5"/>
      <c r="C21" s="64" t="s">
        <v>68</v>
      </c>
      <c r="D21" s="67">
        <f>VLOOKUP(VLOOKUP($D$13,termekek!$A$4:$K$1000,3),beszallitok!$A$4:$D$50,4)</f>
        <v>3612345678</v>
      </c>
      <c r="E21" s="63"/>
      <c r="F21" s="64"/>
      <c r="G21" s="63"/>
      <c r="H21" s="63"/>
      <c r="I21" s="5"/>
    </row>
    <row r="22" spans="2:9" x14ac:dyDescent="0.25">
      <c r="B22" s="5"/>
      <c r="C22" s="64"/>
      <c r="D22" s="63"/>
      <c r="E22" s="63"/>
      <c r="F22" s="64"/>
      <c r="G22" s="63"/>
      <c r="H22" s="63"/>
      <c r="I22" s="5"/>
    </row>
    <row r="23" spans="2:9" ht="5.25" customHeight="1" x14ac:dyDescent="0.25">
      <c r="B23" s="5"/>
      <c r="C23" s="66"/>
      <c r="D23" s="5"/>
      <c r="E23" s="5"/>
      <c r="F23" s="66"/>
      <c r="G23" s="5"/>
      <c r="H23" s="5"/>
      <c r="I23" s="5"/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lapvaltas_eladas">
                <anchor moveWithCells="1" sizeWithCells="1">
                  <from>
                    <xdr:col>5</xdr:col>
                    <xdr:colOff>800100</xdr:colOff>
                    <xdr:row>1</xdr:row>
                    <xdr:rowOff>45720</xdr:rowOff>
                  </from>
                  <to>
                    <xdr:col>8</xdr:col>
                    <xdr:colOff>0</xdr:colOff>
                    <xdr:row>1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Eladas</vt:lpstr>
      <vt:lpstr>Beszerzes</vt:lpstr>
      <vt:lpstr>Termekadatok</vt:lpstr>
      <vt:lpstr>ujtermek</vt:lpstr>
      <vt:lpstr>ujbeszallito</vt:lpstr>
      <vt:lpstr>beszallitok</vt:lpstr>
      <vt:lpstr>termekek</vt:lpstr>
      <vt:lpstr>eladasok</vt:lpstr>
      <vt:lpstr>beszerzesek</vt:lpstr>
      <vt:lpstr>kimutatasok</vt:lpstr>
    </vt:vector>
  </TitlesOfParts>
  <Company>BBS-INFO Kft.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Bártfai Barnabás</dc:creator>
  <cp:lastModifiedBy>Messzi-Szabó Gábor</cp:lastModifiedBy>
  <dcterms:created xsi:type="dcterms:W3CDTF">2010-02-26T14:52:02Z</dcterms:created>
  <dcterms:modified xsi:type="dcterms:W3CDTF">2019-11-26T12:50:57Z</dcterms:modified>
</cp:coreProperties>
</file>